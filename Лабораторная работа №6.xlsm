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ocuments\Home works\Informatics\лабы\"/>
    </mc:Choice>
  </mc:AlternateContent>
  <xr:revisionPtr revIDLastSave="0" documentId="13_ncr:1_{295BC19E-6265-496E-A595-8728BDE28EF9}" xr6:coauthVersionLast="45" xr6:coauthVersionMax="45" xr10:uidLastSave="{00000000-0000-0000-0000-000000000000}"/>
  <bookViews>
    <workbookView xWindow="-108" yWindow="-108" windowWidth="23256" windowHeight="12720" firstSheet="3" activeTab="13" xr2:uid="{00000000-000D-0000-FFFF-FFFF00000000}"/>
  </bookViews>
  <sheets>
    <sheet name="Формула" sheetId="1" r:id="rId1"/>
    <sheet name="Справочник" sheetId="2" r:id="rId2"/>
    <sheet name="Расчет стоимости товара" sheetId="3" r:id="rId3"/>
    <sheet name="Диаграмма" sheetId="4" r:id="rId4"/>
    <sheet name="Фильры" sheetId="5" r:id="rId5"/>
    <sheet name="ВПР1" sheetId="6" r:id="rId6"/>
    <sheet name="ВПР2" sheetId="7" r:id="rId7"/>
    <sheet name="Тур1" sheetId="8" r:id="rId8"/>
    <sheet name="Тур2" sheetId="9" r:id="rId9"/>
    <sheet name="Тур3" sheetId="10" r:id="rId10"/>
    <sheet name="Тур4" sheetId="11" r:id="rId11"/>
    <sheet name="Тур5" sheetId="12" r:id="rId12"/>
    <sheet name="Тур6" sheetId="13" r:id="rId13"/>
    <sheet name="Тур7" sheetId="14" r:id="rId14"/>
  </sheets>
  <definedNames>
    <definedName name="_xlnm._FilterDatabase" localSheetId="6" hidden="1">ВПР2!$A$1:$B$15</definedName>
    <definedName name="_xlnm._FilterDatabase" localSheetId="4" hidden="1">Фильры!$A$1:$H$17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6" i="6" l="1"/>
  <c r="C4" i="6"/>
  <c r="C5" i="6"/>
  <c r="C6" i="6"/>
  <c r="C7" i="6"/>
  <c r="C8" i="6"/>
  <c r="C9" i="6"/>
  <c r="C10" i="6"/>
  <c r="C11" i="6"/>
  <c r="C12" i="6"/>
  <c r="C13" i="6"/>
  <c r="C14" i="6"/>
  <c r="C15" i="6"/>
  <c r="C3" i="6"/>
  <c r="I11" i="3"/>
  <c r="D12" i="3"/>
  <c r="D13" i="3"/>
  <c r="D14" i="3"/>
  <c r="D15" i="3"/>
  <c r="D16" i="3"/>
  <c r="D17" i="3"/>
  <c r="D11" i="3"/>
  <c r="I12" i="1"/>
  <c r="I13" i="1"/>
  <c r="I14" i="1"/>
  <c r="I15" i="1"/>
  <c r="I16" i="1"/>
  <c r="I17" i="1"/>
  <c r="I18" i="1"/>
  <c r="I19" i="1"/>
  <c r="I20" i="1"/>
  <c r="I21" i="1"/>
  <c r="I22" i="1"/>
  <c r="I11" i="1"/>
  <c r="C17" i="6" l="1"/>
  <c r="I20" i="3"/>
  <c r="C20" i="3"/>
  <c r="A4" i="3"/>
  <c r="H12" i="3"/>
  <c r="H13" i="3"/>
  <c r="H14" i="3"/>
  <c r="H15" i="3"/>
  <c r="H16" i="3"/>
  <c r="H17" i="3"/>
  <c r="H11" i="3"/>
  <c r="G12" i="3"/>
  <c r="G13" i="3"/>
  <c r="G14" i="3"/>
  <c r="G15" i="3"/>
  <c r="G16" i="3"/>
  <c r="G17" i="3"/>
  <c r="G11" i="3"/>
  <c r="E12" i="3"/>
  <c r="F12" i="3" s="1"/>
  <c r="E13" i="3"/>
  <c r="F13" i="3" s="1"/>
  <c r="E14" i="3"/>
  <c r="E15" i="3"/>
  <c r="E16" i="3"/>
  <c r="F16" i="3" s="1"/>
  <c r="I16" i="3" s="1"/>
  <c r="E17" i="3"/>
  <c r="F17" i="3" s="1"/>
  <c r="E11" i="3"/>
  <c r="F11" i="3" s="1"/>
  <c r="F14" i="3"/>
  <c r="I14" i="3" s="1"/>
  <c r="F15" i="3"/>
  <c r="I15" i="3" s="1"/>
  <c r="B11" i="1"/>
  <c r="D12" i="1"/>
  <c r="D13" i="1"/>
  <c r="D14" i="1"/>
  <c r="D15" i="1"/>
  <c r="D16" i="1"/>
  <c r="D17" i="1"/>
  <c r="D19" i="1"/>
  <c r="D20" i="1"/>
  <c r="D21" i="1"/>
  <c r="D22" i="1"/>
  <c r="D11" i="1"/>
  <c r="C12" i="1"/>
  <c r="C13" i="1"/>
  <c r="C14" i="1"/>
  <c r="C15" i="1"/>
  <c r="C16" i="1"/>
  <c r="C17" i="1"/>
  <c r="C19" i="1"/>
  <c r="C20" i="1"/>
  <c r="C21" i="1"/>
  <c r="C11" i="1"/>
  <c r="B23" i="1"/>
  <c r="D23" i="1" s="1"/>
  <c r="B22" i="1"/>
  <c r="C22" i="1" s="1"/>
  <c r="B12" i="1"/>
  <c r="B13" i="1"/>
  <c r="B14" i="1"/>
  <c r="B15" i="1"/>
  <c r="B16" i="1"/>
  <c r="B17" i="1"/>
  <c r="B18" i="1"/>
  <c r="D18" i="1" s="1"/>
  <c r="B19" i="1"/>
  <c r="B20" i="1"/>
  <c r="B21" i="1"/>
  <c r="I13" i="3" l="1"/>
  <c r="I12" i="3"/>
  <c r="I17" i="3"/>
  <c r="D25" i="1"/>
  <c r="D26" i="1"/>
  <c r="D24" i="1"/>
  <c r="C18" i="1"/>
  <c r="C26" i="1" s="1"/>
  <c r="C23" i="1"/>
  <c r="C24" i="1" s="1"/>
  <c r="C25" i="1"/>
</calcChain>
</file>

<file path=xl/sharedStrings.xml><?xml version="1.0" encoding="utf-8"?>
<sst xmlns="http://schemas.openxmlformats.org/spreadsheetml/2006/main" count="299" uniqueCount="162">
  <si>
    <t>Минимальное значение аргумента:</t>
  </si>
  <si>
    <t>Максимальное значение аргумента:</t>
  </si>
  <si>
    <t>Шаг изменения аргумента:</t>
  </si>
  <si>
    <t>Искомое значение:</t>
  </si>
  <si>
    <t>Расчет выражения на заданном интервале</t>
  </si>
  <si>
    <t>Аргумент Х</t>
  </si>
  <si>
    <t>Значение выражения</t>
  </si>
  <si>
    <t>при А = 100</t>
  </si>
  <si>
    <t>при А = 120</t>
  </si>
  <si>
    <t>№</t>
  </si>
  <si>
    <t>Максимальное значение выражения:</t>
  </si>
  <si>
    <t>Минимальное значение выражения:</t>
  </si>
  <si>
    <t>Количество искомых значений:</t>
  </si>
  <si>
    <t>Лист 1:</t>
  </si>
  <si>
    <t>"Справочник"</t>
  </si>
  <si>
    <t>Данные предприятия</t>
  </si>
  <si>
    <t>Параметр</t>
  </si>
  <si>
    <t>Значение</t>
  </si>
  <si>
    <t>Название</t>
  </si>
  <si>
    <t>Директор</t>
  </si>
  <si>
    <t>Гл. бухгалтер</t>
  </si>
  <si>
    <t>Торговая наценка</t>
  </si>
  <si>
    <t>Налог НДС</t>
  </si>
  <si>
    <t>Налог НП</t>
  </si>
  <si>
    <t>Кур доллара(руб)</t>
  </si>
  <si>
    <t>ТФ ООО "Новый век"</t>
  </si>
  <si>
    <t>Иванов С.П.</t>
  </si>
  <si>
    <t>Сидорова М.П.</t>
  </si>
  <si>
    <t>Дата актуальности данных:</t>
  </si>
  <si>
    <t>Лист 2:</t>
  </si>
  <si>
    <t>Расчет стоимости товара</t>
  </si>
  <si>
    <t>Калькуляция (расчет) стоимости товара</t>
  </si>
  <si>
    <t>№ п/п</t>
  </si>
  <si>
    <t>Наименование товара</t>
  </si>
  <si>
    <t>Стоимость без налогов</t>
  </si>
  <si>
    <t>в у.е.</t>
  </si>
  <si>
    <t>в руб.</t>
  </si>
  <si>
    <t>торговая наценка</t>
  </si>
  <si>
    <t>Итого</t>
  </si>
  <si>
    <t>Размер налогов</t>
  </si>
  <si>
    <t>НДС</t>
  </si>
  <si>
    <t>НП</t>
  </si>
  <si>
    <t>Окончательная стоимость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</si>
  <si>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</si>
  <si>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</si>
  <si>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</si>
  <si>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</si>
  <si>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</si>
  <si>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</si>
  <si>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</si>
  <si>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</si>
  <si>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</si>
  <si>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Ваза "Бригантина"</t>
  </si>
  <si>
    <t>Кашпо "Бриз"</t>
  </si>
  <si>
    <t>Подставка для цветов 100см</t>
  </si>
  <si>
    <t>Набор керамических горшков для кактусов</t>
  </si>
  <si>
    <t>Кашпо "Кубики"</t>
  </si>
  <si>
    <t>Лиана искусственная 4м</t>
  </si>
  <si>
    <t>Водопад декоративный 3м</t>
  </si>
  <si>
    <t>Директор: _________</t>
  </si>
  <si>
    <t>Гл. бухгалтер: __________</t>
  </si>
  <si>
    <t>Лист 3:</t>
  </si>
  <si>
    <t>Номер</t>
  </si>
  <si>
    <t>Часть света</t>
  </si>
  <si>
    <t>Страна</t>
  </si>
  <si>
    <t>Диапазон высоты</t>
  </si>
  <si>
    <t>Высота</t>
  </si>
  <si>
    <t>Первый восходитель</t>
  </si>
  <si>
    <t>Год первого восхождения</t>
  </si>
  <si>
    <t>Азия</t>
  </si>
  <si>
    <t>Россия</t>
  </si>
  <si>
    <t>Эльбрус</t>
  </si>
  <si>
    <t>5001-6000</t>
  </si>
  <si>
    <t>Европа</t>
  </si>
  <si>
    <t>К.Хаширов</t>
  </si>
  <si>
    <t>Дыхтау</t>
  </si>
  <si>
    <t>Альберт Маммери</t>
  </si>
  <si>
    <t>Шхара</t>
  </si>
  <si>
    <t>У.Альмер</t>
  </si>
  <si>
    <t>Китай</t>
  </si>
  <si>
    <t>Джомолунгма</t>
  </si>
  <si>
    <t>8001-9000</t>
  </si>
  <si>
    <t>Тенцинг Норгей</t>
  </si>
  <si>
    <t>Чогори</t>
  </si>
  <si>
    <t>Лино Лачеделли</t>
  </si>
  <si>
    <t>Лхоцхе</t>
  </si>
  <si>
    <t>Э.Райсс</t>
  </si>
  <si>
    <t>Африка</t>
  </si>
  <si>
    <t>Танзания</t>
  </si>
  <si>
    <t>Килиманджаро</t>
  </si>
  <si>
    <t>Ганс Мейер</t>
  </si>
  <si>
    <t>Кения</t>
  </si>
  <si>
    <t>Хэлфорд Маккиндер</t>
  </si>
  <si>
    <t>Уганда</t>
  </si>
  <si>
    <t>Гора Стэнли</t>
  </si>
  <si>
    <t>Неизвестный</t>
  </si>
  <si>
    <t>Северная Америка</t>
  </si>
  <si>
    <t>США</t>
  </si>
  <si>
    <t>Денали</t>
  </si>
  <si>
    <t>6001-7000</t>
  </si>
  <si>
    <t>Хадсон Стак</t>
  </si>
  <si>
    <t>Гора Святого Ильи</t>
  </si>
  <si>
    <t>Форакер</t>
  </si>
  <si>
    <t>Т.Браун</t>
  </si>
  <si>
    <t>Южная Америка</t>
  </si>
  <si>
    <t>Аргентина</t>
  </si>
  <si>
    <t>Аконкагуа</t>
  </si>
  <si>
    <t>Маттиас Цурбригген</t>
  </si>
  <si>
    <t>Охос-дель-Саладо</t>
  </si>
  <si>
    <t>Юстин Войжнис</t>
  </si>
  <si>
    <t>Монте-Писсис</t>
  </si>
  <si>
    <t>Стефан Осецкий</t>
  </si>
  <si>
    <t>Таблица 1</t>
  </si>
  <si>
    <t>Наименование продукта</t>
  </si>
  <si>
    <t>Количество, кг</t>
  </si>
  <si>
    <t>Итоговая цена</t>
  </si>
  <si>
    <t>Бананы</t>
  </si>
  <si>
    <t>Свинина(вырезка)</t>
  </si>
  <si>
    <t>Говяжий язык</t>
  </si>
  <si>
    <t>Картофель</t>
  </si>
  <si>
    <t>Лук</t>
  </si>
  <si>
    <t>Помидоры</t>
  </si>
  <si>
    <t>Огурцы</t>
  </si>
  <si>
    <t>Свинина(ребра)</t>
  </si>
  <si>
    <t>Капуста</t>
  </si>
  <si>
    <t>Баранина</t>
  </si>
  <si>
    <t>Форель</t>
  </si>
  <si>
    <t>Дорадо</t>
  </si>
  <si>
    <t>Укроп</t>
  </si>
  <si>
    <t>Петрушка</t>
  </si>
  <si>
    <t>ИТОГО:</t>
  </si>
  <si>
    <t>Наименование продукта на рынке</t>
  </si>
  <si>
    <t>Цена, руб/кг</t>
  </si>
  <si>
    <t xml:space="preserve"> </t>
  </si>
  <si>
    <t>ЛИСТ 1</t>
  </si>
  <si>
    <t>Дата начала турнира</t>
  </si>
  <si>
    <t>Номер тура</t>
  </si>
  <si>
    <t>Дата</t>
  </si>
  <si>
    <t>Время</t>
  </si>
  <si>
    <t>Участник А</t>
  </si>
  <si>
    <t>Участник В</t>
  </si>
  <si>
    <t>Счёт</t>
  </si>
  <si>
    <t>Команда 1</t>
  </si>
  <si>
    <t>Команда 5</t>
  </si>
  <si>
    <t>Команда 2</t>
  </si>
  <si>
    <t>Команда 6</t>
  </si>
  <si>
    <t>Команда 3</t>
  </si>
  <si>
    <t>Команда 7</t>
  </si>
  <si>
    <t>Команда 4</t>
  </si>
  <si>
    <t>Команда 8</t>
  </si>
  <si>
    <t>ЛИСТ 2</t>
  </si>
  <si>
    <t>ЛИСТ 3</t>
  </si>
  <si>
    <t>ЛИСТ 4</t>
  </si>
  <si>
    <t>ЛИСТ 5</t>
  </si>
  <si>
    <t>ЛИСТ 6</t>
  </si>
  <si>
    <t>ЛИСТ 7</t>
  </si>
  <si>
    <t>Шаг</t>
  </si>
  <si>
    <t>Первое число</t>
  </si>
  <si>
    <t>Текущий курс</t>
  </si>
  <si>
    <t>Укроп1</t>
  </si>
  <si>
    <t>Поп</t>
  </si>
  <si>
    <t>Свинина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</si>
</sst>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_ ;[Red]\-0.00\ "/>
    <numFmt numFmtId="165" formatCode="0_ ;[Red]\-0\ "/>
    <numFmt numFmtId="166" formatCode="0.0"/>
    <numFmt numFmtId="167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1"/>
      <color rgb="FF0070C0"/>
      <name val="Calibri"/>
      <family val="2"/>
      <charset val="204"/>
      <scheme val="minor"/>
    </font>
    <font>
      <b/>
      <i/>
      <sz val="11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gray0625"/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111">
    <xf numFmtId="0" fontId="0" fillId="0" borderId="0" xfId="0"/>
    <xf numFmtId="0" fontId="2" fillId="0" borderId="0" xfId="0" applyFont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3" fillId="0" borderId="2" xfId="0" applyFont="1" applyBorder="1" applyAlignment="1">
      <alignment horizontal="right" wrapText="1"/>
    </xf>
    <xf numFmtId="0" fontId="3" fillId="0" borderId="3" xfId="0" applyFont="1" applyBorder="1" applyAlignment="1">
      <alignment horizontal="right" wrapText="1"/>
    </xf>
    <xf numFmtId="0" fontId="3" fillId="0" borderId="4" xfId="0" applyFont="1" applyBorder="1" applyAlignment="1">
      <alignment horizontal="right" wrapText="1"/>
    </xf>
    <xf numFmtId="2" fontId="0" fillId="0" borderId="4" xfId="0" applyNumberFormat="1" applyBorder="1" applyAlignment="1">
      <alignment horizontal="right"/>
    </xf>
    <xf numFmtId="0" fontId="3" fillId="0" borderId="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3" xfId="0" applyFill="1" applyBorder="1" applyAlignment="1">
      <alignment wrapText="1"/>
    </xf>
    <xf numFmtId="0" fontId="0" fillId="0" borderId="4" xfId="0" applyFill="1" applyBorder="1" applyAlignment="1">
      <alignment wrapText="1"/>
    </xf>
    <xf numFmtId="0" fontId="0" fillId="0" borderId="8" xfId="0" applyBorder="1" applyAlignment="1">
      <alignment wrapText="1"/>
    </xf>
    <xf numFmtId="164" fontId="0" fillId="0" borderId="5" xfId="0" applyNumberFormat="1" applyBorder="1" applyAlignment="1">
      <alignment wrapText="1"/>
    </xf>
    <xf numFmtId="164" fontId="0" fillId="0" borderId="9" xfId="0" applyNumberFormat="1" applyBorder="1" applyAlignment="1">
      <alignment wrapText="1"/>
    </xf>
    <xf numFmtId="165" fontId="0" fillId="0" borderId="5" xfId="0" applyNumberFormat="1" applyBorder="1" applyAlignment="1">
      <alignment wrapText="1"/>
    </xf>
    <xf numFmtId="165" fontId="0" fillId="0" borderId="9" xfId="0" applyNumberFormat="1" applyBorder="1" applyAlignment="1">
      <alignment wrapText="1"/>
    </xf>
    <xf numFmtId="165" fontId="0" fillId="0" borderId="9" xfId="0" applyNumberFormat="1" applyFill="1" applyBorder="1" applyAlignment="1">
      <alignment wrapText="1"/>
    </xf>
    <xf numFmtId="165" fontId="0" fillId="0" borderId="8" xfId="0" applyNumberFormat="1" applyFill="1" applyBorder="1" applyAlignment="1">
      <alignment wrapText="1"/>
    </xf>
    <xf numFmtId="164" fontId="0" fillId="0" borderId="2" xfId="0" applyNumberFormat="1" applyBorder="1" applyAlignment="1">
      <alignment wrapText="1"/>
    </xf>
    <xf numFmtId="164" fontId="0" fillId="0" borderId="3" xfId="0" applyNumberFormat="1" applyBorder="1" applyAlignment="1">
      <alignment wrapText="1"/>
    </xf>
    <xf numFmtId="164" fontId="0" fillId="0" borderId="8" xfId="0" applyNumberFormat="1" applyBorder="1" applyAlignment="1">
      <alignment wrapText="1"/>
    </xf>
    <xf numFmtId="164" fontId="0" fillId="0" borderId="4" xfId="0" applyNumberFormat="1" applyBorder="1" applyAlignment="1">
      <alignment wrapText="1"/>
    </xf>
    <xf numFmtId="164" fontId="0" fillId="0" borderId="3" xfId="0" applyNumberFormat="1" applyBorder="1" applyAlignment="1">
      <alignment vertical="center" wrapText="1"/>
    </xf>
    <xf numFmtId="165" fontId="0" fillId="0" borderId="4" xfId="0" applyNumberFormat="1" applyBorder="1" applyAlignment="1">
      <alignment vertical="center" wrapText="1"/>
    </xf>
    <xf numFmtId="14" fontId="0" fillId="0" borderId="0" xfId="0" applyNumberFormat="1"/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9" fontId="2" fillId="0" borderId="14" xfId="0" applyNumberFormat="1" applyFont="1" applyBorder="1"/>
    <xf numFmtId="0" fontId="2" fillId="0" borderId="15" xfId="0" applyFont="1" applyBorder="1"/>
    <xf numFmtId="2" fontId="2" fillId="0" borderId="16" xfId="0" applyNumberFormat="1" applyFont="1" applyBorder="1"/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3" xfId="0" applyFont="1" applyBorder="1" applyAlignment="1">
      <alignment horizontal="right" vertical="center"/>
    </xf>
    <xf numFmtId="0" fontId="0" fillId="0" borderId="14" xfId="0" applyBorder="1" applyAlignment="1">
      <alignment horizontal="left" vertical="center"/>
    </xf>
    <xf numFmtId="0" fontId="0" fillId="0" borderId="14" xfId="0" applyBorder="1" applyAlignment="1">
      <alignment horizontal="left" vertical="center" wrapText="1"/>
    </xf>
    <xf numFmtId="0" fontId="2" fillId="0" borderId="11" xfId="0" applyFont="1" applyBorder="1" applyAlignment="1">
      <alignment horizontal="right" vertical="center"/>
    </xf>
    <xf numFmtId="0" fontId="0" fillId="0" borderId="12" xfId="0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0" fillId="0" borderId="16" xfId="0" applyBorder="1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2" fontId="2" fillId="2" borderId="12" xfId="0" applyNumberFormat="1" applyFont="1" applyFill="1" applyBorder="1" applyAlignment="1">
      <alignment horizontal="right" vertical="center"/>
    </xf>
    <xf numFmtId="2" fontId="2" fillId="2" borderId="14" xfId="0" applyNumberFormat="1" applyFont="1" applyFill="1" applyBorder="1" applyAlignment="1">
      <alignment horizontal="right" vertical="center"/>
    </xf>
    <xf numFmtId="2" fontId="2" fillId="2" borderId="16" xfId="0" applyNumberFormat="1" applyFont="1" applyFill="1" applyBorder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2" fontId="2" fillId="2" borderId="11" xfId="0" applyNumberFormat="1" applyFont="1" applyFill="1" applyBorder="1" applyAlignment="1">
      <alignment horizontal="right" vertical="center"/>
    </xf>
    <xf numFmtId="2" fontId="2" fillId="2" borderId="13" xfId="0" applyNumberFormat="1" applyFont="1" applyFill="1" applyBorder="1" applyAlignment="1">
      <alignment horizontal="right" vertical="center"/>
    </xf>
    <xf numFmtId="2" fontId="2" fillId="2" borderId="15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2" fontId="2" fillId="2" borderId="23" xfId="0" applyNumberFormat="1" applyFont="1" applyFill="1" applyBorder="1" applyAlignment="1">
      <alignment horizontal="right" vertical="center"/>
    </xf>
    <xf numFmtId="2" fontId="2" fillId="2" borderId="25" xfId="0" applyNumberFormat="1" applyFont="1" applyFill="1" applyBorder="1" applyAlignment="1">
      <alignment horizontal="right" vertical="center"/>
    </xf>
    <xf numFmtId="2" fontId="2" fillId="2" borderId="24" xfId="0" applyNumberFormat="1" applyFont="1" applyFill="1" applyBorder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0" borderId="10" xfId="0" applyBorder="1"/>
    <xf numFmtId="166" fontId="0" fillId="0" borderId="10" xfId="0" applyNumberFormat="1" applyBorder="1"/>
    <xf numFmtId="0" fontId="0" fillId="0" borderId="10" xfId="0" applyBorder="1" applyAlignment="1">
      <alignment horizontal="right"/>
    </xf>
    <xf numFmtId="0" fontId="0" fillId="0" borderId="10" xfId="0" applyFill="1" applyBorder="1"/>
    <xf numFmtId="0" fontId="1" fillId="0" borderId="10" xfId="0" applyFont="1" applyBorder="1"/>
    <xf numFmtId="0" fontId="0" fillId="0" borderId="17" xfId="0" applyBorder="1"/>
    <xf numFmtId="14" fontId="0" fillId="0" borderId="10" xfId="0" applyNumberFormat="1" applyBorder="1"/>
    <xf numFmtId="167" fontId="0" fillId="0" borderId="10" xfId="0" applyNumberFormat="1" applyBorder="1"/>
    <xf numFmtId="43" fontId="0" fillId="0" borderId="0" xfId="1" applyFont="1" applyAlignment="1">
      <alignment horizontal="center" vertical="center"/>
    </xf>
    <xf numFmtId="0" fontId="0" fillId="0" borderId="0" xfId="0" applyNumberFormat="1"/>
    <xf numFmtId="166" fontId="0" fillId="2" borderId="10" xfId="0" applyNumberFormat="1" applyFill="1" applyBorder="1" applyAlignment="1">
      <alignment horizontal="right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0" borderId="17" xfId="0" applyBorder="1" applyAlignment="1">
      <alignment horizontal="left"/>
    </xf>
    <xf numFmtId="0" fontId="0" fillId="0" borderId="0" xfId="0" applyAlignment="1">
      <alignment wrapText="1"/>
    </xf>
    <xf numFmtId="2" fontId="2" fillId="0" borderId="26" xfId="0" applyNumberFormat="1" applyFont="1" applyBorder="1" applyAlignment="1">
      <alignment horizontal="right" vertical="center"/>
    </xf>
    <xf numFmtId="2" fontId="2" fillId="0" borderId="27" xfId="0" applyNumberFormat="1" applyFont="1" applyBorder="1" applyAlignment="1">
      <alignment horizontal="right" vertical="center"/>
    </xf>
    <xf numFmtId="2" fontId="2" fillId="0" borderId="28" xfId="0" applyNumberFormat="1" applyFont="1" applyBorder="1" applyAlignment="1">
      <alignment horizontal="right" vertical="center"/>
    </xf>
    <xf numFmtId="2" fontId="2" fillId="2" borderId="29" xfId="0" applyNumberFormat="1" applyFont="1" applyFill="1" applyBorder="1" applyAlignment="1">
      <alignment horizontal="right" vertical="center"/>
    </xf>
    <xf numFmtId="2" fontId="2" fillId="2" borderId="30" xfId="0" applyNumberFormat="1" applyFont="1" applyFill="1" applyBorder="1" applyAlignment="1">
      <alignment horizontal="right" vertical="center"/>
    </xf>
    <xf numFmtId="2" fontId="2" fillId="2" borderId="31" xfId="0" applyNumberFormat="1" applyFont="1" applyFill="1" applyBorder="1" applyAlignment="1">
      <alignment horizontal="right" vertical="center"/>
    </xf>
    <xf numFmtId="0" fontId="0" fillId="0" borderId="0" xfId="0" applyBorder="1"/>
    <xf numFmtId="2" fontId="2" fillId="2" borderId="6" xfId="0" applyNumberFormat="1" applyFont="1" applyFill="1" applyBorder="1" applyAlignment="1">
      <alignment horizontal="right" vertical="center"/>
    </xf>
    <xf numFmtId="166" fontId="0" fillId="2" borderId="10" xfId="0" applyNumberFormat="1" applyFill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'Расчет стоимости товара'!$B$11</c:f>
              <c:strCache>
                <c:ptCount val="1"/>
                <c:pt idx="0">
                  <c:v>Ваза "Бригантина"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910-4AED-A471-306FD37381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910-4AED-A471-306FD373813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910-4AED-A471-306FD373813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910-4AED-A471-306FD373813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('Расчет стоимости товара'!$D$9:$E$9,'Расчет стоимости товара'!$G$9:$H$9)</c:f>
              <c:strCache>
                <c:ptCount val="4"/>
                <c:pt idx="0">
                  <c:v>в руб.</c:v>
                </c:pt>
                <c:pt idx="1">
                  <c:v>торговая наценка</c:v>
                </c:pt>
                <c:pt idx="2">
                  <c:v>НДС</c:v>
                </c:pt>
                <c:pt idx="3">
                  <c:v>НП</c:v>
                </c:pt>
              </c:strCache>
            </c:strRef>
          </c:cat>
          <c:val>
            <c:numRef>
              <c:f>('Расчет стоимости товара'!$D$11:$E$11,'Расчет стоимости товара'!$G$11:$H$11)</c:f>
              <c:numCache>
                <c:formatCode>0.00</c:formatCode>
                <c:ptCount val="4"/>
                <c:pt idx="0">
                  <c:v>600</c:v>
                </c:pt>
                <c:pt idx="1">
                  <c:v>180</c:v>
                </c:pt>
                <c:pt idx="2">
                  <c:v>120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02-4222-B0FF-9C0804698DC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0</xdr:row>
      <xdr:rowOff>175260</xdr:rowOff>
    </xdr:from>
    <xdr:to>
      <xdr:col>12</xdr:col>
      <xdr:colOff>266700</xdr:colOff>
      <xdr:row>28</xdr:row>
      <xdr:rowOff>7620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DE922B3-D4E4-4067-9DE3-B8AE24631B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26"/>
  <sheetViews>
    <sheetView showZeros="0" view="pageLayout" zoomScaleNormal="100" workbookViewId="0">
      <selection activeCell="K11" sqref="K11"/>
    </sheetView>
  </sheetViews>
  <sheetFormatPr defaultRowHeight="14.4" x14ac:dyDescent="0.3"/>
  <cols>
    <col min="1" max="1" width="5" customWidth="1"/>
    <col min="2" max="2" width="17.109375" customWidth="1"/>
    <col min="3" max="3" width="18.44140625" customWidth="1"/>
    <col min="4" max="4" width="16.109375" customWidth="1"/>
  </cols>
  <sheetData>
    <row r="1" spans="1:10" ht="15" thickBot="1" x14ac:dyDescent="0.35"/>
    <row r="2" spans="1:10" x14ac:dyDescent="0.3">
      <c r="B2" s="83" t="s">
        <v>0</v>
      </c>
      <c r="C2" s="83"/>
      <c r="D2" s="2">
        <v>-90</v>
      </c>
    </row>
    <row r="3" spans="1:10" x14ac:dyDescent="0.3">
      <c r="B3" s="83" t="s">
        <v>1</v>
      </c>
      <c r="C3" s="84"/>
      <c r="D3" s="3">
        <v>90</v>
      </c>
    </row>
    <row r="4" spans="1:10" x14ac:dyDescent="0.3">
      <c r="B4" s="83" t="s">
        <v>2</v>
      </c>
      <c r="C4" s="83"/>
      <c r="D4" s="3">
        <v>15</v>
      </c>
    </row>
    <row r="5" spans="1:10" ht="15" thickBot="1" x14ac:dyDescent="0.35">
      <c r="C5" s="1" t="s">
        <v>3</v>
      </c>
      <c r="D5" s="7">
        <v>-0.77</v>
      </c>
    </row>
    <row r="7" spans="1:10" x14ac:dyDescent="0.3">
      <c r="B7" s="85" t="s">
        <v>4</v>
      </c>
      <c r="C7" s="85"/>
      <c r="D7" s="85"/>
    </row>
    <row r="8" spans="1:10" ht="15" thickBot="1" x14ac:dyDescent="0.35">
      <c r="I8" t="s">
        <v>156</v>
      </c>
      <c r="J8">
        <v>5</v>
      </c>
    </row>
    <row r="9" spans="1:10" ht="15" thickBot="1" x14ac:dyDescent="0.35">
      <c r="A9" s="81" t="s">
        <v>9</v>
      </c>
      <c r="B9" s="81" t="s">
        <v>5</v>
      </c>
      <c r="C9" s="86" t="s">
        <v>6</v>
      </c>
      <c r="D9" s="87"/>
      <c r="I9" t="s">
        <v>157</v>
      </c>
      <c r="J9">
        <v>100</v>
      </c>
    </row>
    <row r="10" spans="1:10" ht="15" thickBot="1" x14ac:dyDescent="0.35">
      <c r="A10" s="82"/>
      <c r="B10" s="82"/>
      <c r="C10" s="8" t="s">
        <v>7</v>
      </c>
      <c r="D10" s="9" t="s">
        <v>8</v>
      </c>
    </row>
    <row r="11" spans="1:10" x14ac:dyDescent="0.3">
      <c r="A11" s="10">
        <v>0</v>
      </c>
      <c r="B11" s="19">
        <f>$D$2+$D$4*A11</f>
        <v>-90</v>
      </c>
      <c r="C11" s="17">
        <f>ROUND(SIN(100*B11)/COS(100*B11) - SQRT(ABS(B11/100)),2)</f>
        <v>-0.17</v>
      </c>
      <c r="D11" s="23">
        <f>ROUND(SIN(120*B11)/COS(120*B11) - SQRT(ABS(B11/120)),2)</f>
        <v>0.15</v>
      </c>
      <c r="G11">
        <v>100</v>
      </c>
      <c r="I11">
        <f>$J$9-$J$8*A11</f>
        <v>100</v>
      </c>
    </row>
    <row r="12" spans="1:10" x14ac:dyDescent="0.3">
      <c r="A12" s="12">
        <v>1</v>
      </c>
      <c r="B12" s="20">
        <f t="shared" ref="B12:B23" si="0">$D$2+$D$4*A12</f>
        <v>-75</v>
      </c>
      <c r="C12" s="18">
        <f t="shared" ref="C12:C23" si="1">ROUND(SIN(100*B12)/COS(100*B12) - SQRT(ABS(B12/100)),2)</f>
        <v>-2.4900000000000002</v>
      </c>
      <c r="D12" s="24">
        <f t="shared" ref="D12:D23" si="2">ROUND(SIN(120*B12)/COS(120*B12) - SQRT(ABS(B12/120)),2)</f>
        <v>-0.01</v>
      </c>
      <c r="G12">
        <v>95</v>
      </c>
      <c r="I12">
        <f t="shared" ref="I12:I22" si="3">$J$9-$J$8*A12</f>
        <v>95</v>
      </c>
    </row>
    <row r="13" spans="1:10" x14ac:dyDescent="0.3">
      <c r="A13" s="12">
        <v>2</v>
      </c>
      <c r="B13" s="20">
        <f t="shared" si="0"/>
        <v>-60</v>
      </c>
      <c r="C13" s="18">
        <f t="shared" si="1"/>
        <v>-0.3</v>
      </c>
      <c r="D13" s="24">
        <f t="shared" si="2"/>
        <v>-0.12</v>
      </c>
      <c r="G13">
        <v>90</v>
      </c>
      <c r="I13">
        <f t="shared" si="3"/>
        <v>90</v>
      </c>
    </row>
    <row r="14" spans="1:10" x14ac:dyDescent="0.3">
      <c r="A14" s="12">
        <v>3</v>
      </c>
      <c r="B14" s="20">
        <f t="shared" si="0"/>
        <v>-45</v>
      </c>
      <c r="C14" s="18">
        <f t="shared" si="1"/>
        <v>-3.58</v>
      </c>
      <c r="D14" s="24">
        <f t="shared" si="2"/>
        <v>-0.19</v>
      </c>
      <c r="G14">
        <v>85</v>
      </c>
      <c r="I14">
        <f t="shared" si="3"/>
        <v>85</v>
      </c>
    </row>
    <row r="15" spans="1:10" x14ac:dyDescent="0.3">
      <c r="A15" s="12">
        <v>4</v>
      </c>
      <c r="B15" s="20">
        <f t="shared" si="0"/>
        <v>-30</v>
      </c>
      <c r="C15" s="18">
        <f t="shared" si="1"/>
        <v>-0.32</v>
      </c>
      <c r="D15" s="24">
        <f t="shared" si="2"/>
        <v>-0.23</v>
      </c>
      <c r="G15">
        <v>80</v>
      </c>
      <c r="I15">
        <f t="shared" si="3"/>
        <v>80</v>
      </c>
    </row>
    <row r="16" spans="1:10" x14ac:dyDescent="0.3">
      <c r="A16" s="12">
        <v>5</v>
      </c>
      <c r="B16" s="20">
        <f t="shared" si="0"/>
        <v>-15</v>
      </c>
      <c r="C16" s="18">
        <f t="shared" si="1"/>
        <v>-9.4</v>
      </c>
      <c r="D16" s="24">
        <f t="shared" si="2"/>
        <v>-0.22</v>
      </c>
      <c r="G16">
        <v>75</v>
      </c>
      <c r="I16">
        <f t="shared" si="3"/>
        <v>75</v>
      </c>
    </row>
    <row r="17" spans="1:9" x14ac:dyDescent="0.3">
      <c r="A17" s="12">
        <v>6</v>
      </c>
      <c r="B17" s="20">
        <f t="shared" si="0"/>
        <v>0</v>
      </c>
      <c r="C17" s="18">
        <f t="shared" si="1"/>
        <v>0</v>
      </c>
      <c r="D17" s="24">
        <f t="shared" si="2"/>
        <v>0</v>
      </c>
      <c r="G17">
        <v>70</v>
      </c>
      <c r="I17">
        <f t="shared" si="3"/>
        <v>70</v>
      </c>
    </row>
    <row r="18" spans="1:9" x14ac:dyDescent="0.3">
      <c r="A18" s="12">
        <v>7</v>
      </c>
      <c r="B18" s="20">
        <f t="shared" si="0"/>
        <v>15</v>
      </c>
      <c r="C18" s="18">
        <f t="shared" si="1"/>
        <v>8.6300000000000008</v>
      </c>
      <c r="D18" s="24">
        <f t="shared" si="2"/>
        <v>-0.49</v>
      </c>
      <c r="G18">
        <v>65</v>
      </c>
      <c r="I18">
        <f t="shared" si="3"/>
        <v>65</v>
      </c>
    </row>
    <row r="19" spans="1:9" x14ac:dyDescent="0.3">
      <c r="A19" s="12">
        <v>8</v>
      </c>
      <c r="B19" s="20">
        <f t="shared" si="0"/>
        <v>30</v>
      </c>
      <c r="C19" s="18">
        <f t="shared" si="1"/>
        <v>-0.77</v>
      </c>
      <c r="D19" s="24">
        <f t="shared" si="2"/>
        <v>-0.77</v>
      </c>
      <c r="G19">
        <v>60</v>
      </c>
      <c r="I19">
        <f t="shared" si="3"/>
        <v>60</v>
      </c>
    </row>
    <row r="20" spans="1:9" x14ac:dyDescent="0.3">
      <c r="A20" s="12">
        <v>9</v>
      </c>
      <c r="B20" s="20">
        <f t="shared" si="0"/>
        <v>45</v>
      </c>
      <c r="C20" s="18">
        <f t="shared" si="1"/>
        <v>2.23</v>
      </c>
      <c r="D20" s="24">
        <f t="shared" si="2"/>
        <v>-1.03</v>
      </c>
      <c r="G20">
        <v>55</v>
      </c>
      <c r="I20">
        <f t="shared" si="3"/>
        <v>55</v>
      </c>
    </row>
    <row r="21" spans="1:9" x14ac:dyDescent="0.3">
      <c r="A21" s="12">
        <v>10</v>
      </c>
      <c r="B21" s="20">
        <f t="shared" si="0"/>
        <v>60</v>
      </c>
      <c r="C21" s="18">
        <f t="shared" si="1"/>
        <v>-1.25</v>
      </c>
      <c r="D21" s="24">
        <f t="shared" si="2"/>
        <v>-1.29</v>
      </c>
      <c r="G21">
        <v>50</v>
      </c>
      <c r="I21">
        <f t="shared" si="3"/>
        <v>50</v>
      </c>
    </row>
    <row r="22" spans="1:9" x14ac:dyDescent="0.3">
      <c r="A22" s="14">
        <v>11</v>
      </c>
      <c r="B22" s="21">
        <f t="shared" si="0"/>
        <v>75</v>
      </c>
      <c r="C22" s="18">
        <f t="shared" si="1"/>
        <v>0.76</v>
      </c>
      <c r="D22" s="24">
        <f t="shared" si="2"/>
        <v>-1.57</v>
      </c>
      <c r="G22">
        <v>45</v>
      </c>
      <c r="I22">
        <f t="shared" si="3"/>
        <v>45</v>
      </c>
    </row>
    <row r="23" spans="1:9" ht="15" thickBot="1" x14ac:dyDescent="0.35">
      <c r="A23" s="15">
        <v>12</v>
      </c>
      <c r="B23" s="22">
        <f t="shared" si="0"/>
        <v>90</v>
      </c>
      <c r="C23" s="25">
        <f t="shared" si="1"/>
        <v>-1.73</v>
      </c>
      <c r="D23" s="26">
        <f t="shared" si="2"/>
        <v>-1.89</v>
      </c>
    </row>
    <row r="24" spans="1:9" ht="43.2" x14ac:dyDescent="0.3">
      <c r="A24" s="11"/>
      <c r="B24" s="4" t="s">
        <v>10</v>
      </c>
      <c r="C24" s="27">
        <f>MAX(C11:C23)</f>
        <v>8.6300000000000008</v>
      </c>
      <c r="D24" s="27">
        <f>MAX(D11:D23)</f>
        <v>0.15</v>
      </c>
    </row>
    <row r="25" spans="1:9" ht="43.2" x14ac:dyDescent="0.3">
      <c r="A25" s="13"/>
      <c r="B25" s="5" t="s">
        <v>11</v>
      </c>
      <c r="C25" s="27">
        <f>MIN(C11:C23)</f>
        <v>-9.4</v>
      </c>
      <c r="D25" s="27">
        <f>MIN(D11:D23)</f>
        <v>-1.89</v>
      </c>
    </row>
    <row r="26" spans="1:9" ht="43.8" thickBot="1" x14ac:dyDescent="0.35">
      <c r="A26" s="16"/>
      <c r="B26" s="6" t="s">
        <v>12</v>
      </c>
      <c r="C26" s="28">
        <f>COUNTIF(C11:C23,D5)</f>
        <v>1</v>
      </c>
      <c r="D26" s="28">
        <f>COUNTIF(D11:D23,D5)</f>
        <v>1</v>
      </c>
    </row>
  </sheetData>
  <mergeCells count="7">
    <mergeCell ref="A9:A10"/>
    <mergeCell ref="B2:C2"/>
    <mergeCell ref="B3:C3"/>
    <mergeCell ref="B4:C4"/>
    <mergeCell ref="B7:D7"/>
    <mergeCell ref="B9:B10"/>
    <mergeCell ref="C9:D9"/>
  </mergeCells>
  <pageMargins left="0.7" right="0.7" top="0.75" bottom="0.75" header="0.3" footer="0.3"/>
  <pageSetup paperSize="9" orientation="landscape" r:id="rId1"/>
  <headerFooter>
    <oddHeader>&amp;C
Егошин Алексей Васильевич, группа P3113, вариант №7, &amp;F</oddHeader>
    <oddFooter>&amp;L&amp;"-,полужирный" Секретно&amp;C12.11.2019 21:38&amp;RСтраница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5B45-16B4-4B0B-9BD7-4CBBE93BCA85}">
  <sheetPr codeName="Лист2"/>
  <dimension ref="A2:B15"/>
  <sheetViews>
    <sheetView workbookViewId="0">
      <selection activeCell="B13" sqref="B13"/>
    </sheetView>
  </sheetViews>
  <sheetFormatPr defaultRowHeight="14.4" x14ac:dyDescent="0.3"/>
  <cols>
    <col min="1" max="1" width="16.109375" customWidth="1"/>
    <col min="2" max="2" width="22.5546875" customWidth="1"/>
  </cols>
  <sheetData>
    <row r="2" spans="1:2" x14ac:dyDescent="0.3">
      <c r="A2" t="s">
        <v>13</v>
      </c>
      <c r="B2" t="s">
        <v>14</v>
      </c>
    </row>
    <row r="4" spans="1:2" x14ac:dyDescent="0.3">
      <c r="A4" s="88" t="s">
        <v>15</v>
      </c>
      <c r="B4" s="88"/>
    </row>
    <row r="5" spans="1:2" ht="15" thickBot="1" x14ac:dyDescent="0.35"/>
    <row r="6" spans="1:2" ht="15" thickBot="1" x14ac:dyDescent="0.35">
      <c r="A6" s="30" t="s">
        <v>16</v>
      </c>
      <c r="B6" s="31" t="s">
        <v>17</v>
      </c>
    </row>
    <row r="7" spans="1:2" x14ac:dyDescent="0.3">
      <c r="A7" s="32" t="s">
        <v>18</v>
      </c>
      <c r="B7" s="33" t="s">
        <v>25</v>
      </c>
    </row>
    <row r="8" spans="1:2" x14ac:dyDescent="0.3">
      <c r="A8" s="34" t="s">
        <v>19</v>
      </c>
      <c r="B8" s="35" t="s">
        <v>26</v>
      </c>
    </row>
    <row r="9" spans="1:2" x14ac:dyDescent="0.3">
      <c r="A9" s="34" t="s">
        <v>20</v>
      </c>
      <c r="B9" s="35" t="s">
        <v>27</v>
      </c>
    </row>
    <row r="10" spans="1:2" x14ac:dyDescent="0.3">
      <c r="A10" s="34" t="s">
        <v>21</v>
      </c>
      <c r="B10" s="36">
        <v>0.3</v>
      </c>
    </row>
    <row r="11" spans="1:2" x14ac:dyDescent="0.3">
      <c r="A11" s="34" t="s">
        <v>22</v>
      </c>
      <c r="B11" s="36">
        <v>0.2</v>
      </c>
    </row>
    <row r="12" spans="1:2" x14ac:dyDescent="0.3">
      <c r="A12" s="34" t="s">
        <v>23</v>
      </c>
      <c r="B12" s="36">
        <v>0.05</v>
      </c>
    </row>
    <row r="13" spans="1:2" ht="15" thickBot="1" x14ac:dyDescent="0.35">
      <c r="A13" s="37" t="s">
        <v>24</v>
      </c>
      <c r="B13" s="38">
        <v>30</v>
      </c>
    </row>
    <row r="15" spans="1:2" ht="43.2" x14ac:dyDescent="0.3">
      <c r="A15" s="39" t="s">
        <v>28</v>
      </c>
      <c r="B15" s="40">
        <v>37386</v>
      </c>
    </row>
  </sheetData>
  <mergeCells count="1">
    <mergeCell ref="A4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0481B-71D5-4F22-AC24-231D638A645E}">
  <sheetPr codeName="Лист3"/>
  <dimension ref="A2:I20"/>
  <sheetViews>
    <sheetView workbookViewId="0">
      <selection activeCell="G12" sqref="G12"/>
    </sheetView>
  </sheetViews>
  <sheetFormatPr defaultRowHeight="14.4" x14ac:dyDescent="0.3"/>
  <cols>
    <col min="2" max="2" width="26.88671875" customWidth="1"/>
    <col min="5" max="5" width="12.109375" customWidth="1"/>
    <col min="9" max="9" width="17.109375" customWidth="1"/>
  </cols>
  <sheetData>
    <row r="2" spans="1:9" ht="28.8" x14ac:dyDescent="0.3">
      <c r="A2" t="s">
        <v>29</v>
      </c>
      <c r="B2" t="s">
        <v>30</v>
      </c>
      <c r="D2" s="101" t="s">
        <v>158</v>
      </c>
      <c r="E2">
        <v>60</v>
      </c>
    </row>
    <row r="4" spans="1:9" x14ac:dyDescent="0.3">
      <c r="A4" s="88" t="str">
        <f>Справочник!B7</f>
        <v>ТФ ООО "Новый век"</v>
      </c>
      <c r="B4" s="88"/>
    </row>
    <row r="6" spans="1:9" ht="15.6" x14ac:dyDescent="0.3">
      <c r="A6" s="91" t="s">
        <v>31</v>
      </c>
      <c r="B6" s="91"/>
      <c r="C6" s="91"/>
      <c r="D6" s="91"/>
      <c r="E6" s="91"/>
      <c r="F6" s="91"/>
      <c r="G6" s="91"/>
      <c r="H6" s="91"/>
      <c r="I6" s="91"/>
    </row>
    <row r="7" spans="1:9" ht="15" thickBot="1" x14ac:dyDescent="0.35"/>
    <row r="8" spans="1:9" x14ac:dyDescent="0.3">
      <c r="A8" s="92" t="s">
        <v>32</v>
      </c>
      <c r="B8" s="94" t="s">
        <v>33</v>
      </c>
      <c r="C8" s="92" t="s">
        <v>34</v>
      </c>
      <c r="D8" s="96"/>
      <c r="E8" s="96"/>
      <c r="F8" s="94"/>
      <c r="G8" s="92" t="s">
        <v>39</v>
      </c>
      <c r="H8" s="94"/>
      <c r="I8" s="97" t="s">
        <v>42</v>
      </c>
    </row>
    <row r="9" spans="1:9" ht="29.4" thickBot="1" x14ac:dyDescent="0.35">
      <c r="A9" s="93"/>
      <c r="B9" s="95"/>
      <c r="C9" s="52" t="s">
        <v>35</v>
      </c>
      <c r="D9" s="53" t="s">
        <v>36</v>
      </c>
      <c r="E9" s="54" t="s">
        <v>37</v>
      </c>
      <c r="F9" s="55" t="s">
        <v>38</v>
      </c>
      <c r="G9" s="60" t="s">
        <v>40</v>
      </c>
      <c r="H9" s="61" t="s">
        <v>41</v>
      </c>
      <c r="I9" s="98"/>
    </row>
    <row r="10" spans="1:9" ht="15" thickBot="1" x14ac:dyDescent="0.35">
      <c r="A10" s="50" t="s">
        <v>43</v>
      </c>
      <c r="B10" s="51" t="s">
        <v>44</v>
      </c>
      <c r="C10" s="50" t="s">
        <v>45</v>
      </c>
      <c r="D10" s="56" t="s">
        <v>46</v>
      </c>
      <c r="E10" s="56" t="s">
        <v>47</v>
      </c>
      <c r="F10" s="51" t="s">
        <v>48</v>
      </c>
      <c r="G10" s="50" t="s">
        <v>49</v>
      </c>
      <c r="H10" s="51" t="s">
        <v>50</v>
      </c>
      <c r="I10" s="65" t="s">
        <v>51</v>
      </c>
    </row>
    <row r="11" spans="1:9" ht="15" thickBot="1" x14ac:dyDescent="0.35">
      <c r="A11" s="46">
        <v>1</v>
      </c>
      <c r="B11" s="47" t="s">
        <v>52</v>
      </c>
      <c r="C11" s="102">
        <v>20</v>
      </c>
      <c r="D11" s="109">
        <f>C11*Справочник!$B$13</f>
        <v>600</v>
      </c>
      <c r="E11" s="105">
        <f>D11*Справочник!$B$10</f>
        <v>180</v>
      </c>
      <c r="F11" s="57">
        <f>D11+E11</f>
        <v>780</v>
      </c>
      <c r="G11" s="62">
        <f>D11*Справочник!$B$11</f>
        <v>120</v>
      </c>
      <c r="H11" s="57">
        <f>D11*Справочник!$B$12</f>
        <v>30</v>
      </c>
      <c r="I11" s="66">
        <f>SUM(F11:H11)</f>
        <v>930</v>
      </c>
    </row>
    <row r="12" spans="1:9" ht="15" thickBot="1" x14ac:dyDescent="0.35">
      <c r="A12" s="43">
        <v>2</v>
      </c>
      <c r="B12" s="44" t="s">
        <v>53</v>
      </c>
      <c r="C12" s="103">
        <v>15</v>
      </c>
      <c r="D12" s="109">
        <f>C12*Справочник!$B$13</f>
        <v>450</v>
      </c>
      <c r="E12" s="106">
        <f>D12*Справочник!$B$10</f>
        <v>135</v>
      </c>
      <c r="F12" s="58">
        <f t="shared" ref="F12:F17" si="0">D12+E12</f>
        <v>585</v>
      </c>
      <c r="G12" s="63">
        <f>D12*Справочник!$B$11</f>
        <v>90</v>
      </c>
      <c r="H12" s="58">
        <f>D12*Справочник!$B$12</f>
        <v>22.5</v>
      </c>
      <c r="I12" s="67">
        <f t="shared" ref="I12:I17" si="1">SUM(F12:H12)</f>
        <v>697.5</v>
      </c>
    </row>
    <row r="13" spans="1:9" ht="15" thickBot="1" x14ac:dyDescent="0.35">
      <c r="A13" s="43">
        <v>3</v>
      </c>
      <c r="B13" s="44" t="s">
        <v>54</v>
      </c>
      <c r="C13" s="103">
        <v>40</v>
      </c>
      <c r="D13" s="109">
        <f>C13*Справочник!$B$13</f>
        <v>1200</v>
      </c>
      <c r="E13" s="106">
        <f>D13*Справочник!$B$10</f>
        <v>360</v>
      </c>
      <c r="F13" s="58">
        <f t="shared" si="0"/>
        <v>1560</v>
      </c>
      <c r="G13" s="63">
        <f>D13*Справочник!$B$11</f>
        <v>240</v>
      </c>
      <c r="H13" s="58">
        <f>D13*Справочник!$B$12</f>
        <v>60</v>
      </c>
      <c r="I13" s="67">
        <f t="shared" si="1"/>
        <v>1860</v>
      </c>
    </row>
    <row r="14" spans="1:9" ht="29.4" thickBot="1" x14ac:dyDescent="0.35">
      <c r="A14" s="43">
        <v>4</v>
      </c>
      <c r="B14" s="45" t="s">
        <v>55</v>
      </c>
      <c r="C14" s="103">
        <v>33</v>
      </c>
      <c r="D14" s="109">
        <f>C14*Справочник!$B$13</f>
        <v>990</v>
      </c>
      <c r="E14" s="106">
        <f>D14*Справочник!$B$10</f>
        <v>297</v>
      </c>
      <c r="F14" s="58">
        <f t="shared" si="0"/>
        <v>1287</v>
      </c>
      <c r="G14" s="63">
        <f>D14*Справочник!$B$11</f>
        <v>198</v>
      </c>
      <c r="H14" s="58">
        <f>D14*Справочник!$B$12</f>
        <v>49.5</v>
      </c>
      <c r="I14" s="67">
        <f t="shared" si="1"/>
        <v>1534.5</v>
      </c>
    </row>
    <row r="15" spans="1:9" ht="15" thickBot="1" x14ac:dyDescent="0.35">
      <c r="A15" s="43">
        <v>5</v>
      </c>
      <c r="B15" s="44" t="s">
        <v>56</v>
      </c>
      <c r="C15" s="103">
        <v>18</v>
      </c>
      <c r="D15" s="109">
        <f>C15*Справочник!$B$13</f>
        <v>540</v>
      </c>
      <c r="E15" s="106">
        <f>D15*Справочник!$B$10</f>
        <v>162</v>
      </c>
      <c r="F15" s="58">
        <f t="shared" si="0"/>
        <v>702</v>
      </c>
      <c r="G15" s="63">
        <f>D15*Справочник!$B$11</f>
        <v>108</v>
      </c>
      <c r="H15" s="58">
        <f>D15*Справочник!$B$12</f>
        <v>27</v>
      </c>
      <c r="I15" s="67">
        <f t="shared" si="1"/>
        <v>837</v>
      </c>
    </row>
    <row r="16" spans="1:9" ht="15" thickBot="1" x14ac:dyDescent="0.35">
      <c r="A16" s="43">
        <v>6</v>
      </c>
      <c r="B16" s="44" t="s">
        <v>57</v>
      </c>
      <c r="C16" s="103">
        <v>25</v>
      </c>
      <c r="D16" s="109">
        <f>C16*Справочник!$B$13</f>
        <v>750</v>
      </c>
      <c r="E16" s="106">
        <f>D16*Справочник!$B$10</f>
        <v>225</v>
      </c>
      <c r="F16" s="58">
        <f t="shared" si="0"/>
        <v>975</v>
      </c>
      <c r="G16" s="63">
        <f>D16*Справочник!$B$11</f>
        <v>150</v>
      </c>
      <c r="H16" s="58">
        <f>D16*Справочник!$B$12</f>
        <v>37.5</v>
      </c>
      <c r="I16" s="67">
        <f t="shared" si="1"/>
        <v>1162.5</v>
      </c>
    </row>
    <row r="17" spans="1:9" ht="15" thickBot="1" x14ac:dyDescent="0.35">
      <c r="A17" s="48">
        <v>7</v>
      </c>
      <c r="B17" s="49" t="s">
        <v>58</v>
      </c>
      <c r="C17" s="104">
        <v>150</v>
      </c>
      <c r="D17" s="109">
        <f>C17*Справочник!$B$13</f>
        <v>4500</v>
      </c>
      <c r="E17" s="107">
        <f>D17*Справочник!$B$10</f>
        <v>1350</v>
      </c>
      <c r="F17" s="59">
        <f t="shared" si="0"/>
        <v>5850</v>
      </c>
      <c r="G17" s="64">
        <f>D17*Справочник!$B$11</f>
        <v>900</v>
      </c>
      <c r="H17" s="59">
        <f>D17*Справочник!$B$12</f>
        <v>225</v>
      </c>
      <c r="I17" s="68">
        <f t="shared" si="1"/>
        <v>6975</v>
      </c>
    </row>
    <row r="18" spans="1:9" x14ac:dyDescent="0.3">
      <c r="D18" s="108"/>
    </row>
    <row r="20" spans="1:9" x14ac:dyDescent="0.3">
      <c r="A20" s="89" t="s">
        <v>59</v>
      </c>
      <c r="B20" s="89"/>
      <c r="C20" s="90" t="str">
        <f>Справочник!B8</f>
        <v>Иванов С.П.</v>
      </c>
      <c r="D20" s="90"/>
      <c r="E20" s="41"/>
      <c r="F20" s="89" t="s">
        <v>60</v>
      </c>
      <c r="G20" s="89"/>
      <c r="H20" s="89"/>
      <c r="I20" s="69" t="str">
        <f>Справочник!B9</f>
        <v>Сидорова М.П.</v>
      </c>
    </row>
  </sheetData>
  <mergeCells count="10">
    <mergeCell ref="A20:B20"/>
    <mergeCell ref="C20:D20"/>
    <mergeCell ref="F20:H20"/>
    <mergeCell ref="A4:B4"/>
    <mergeCell ref="A6:I6"/>
    <mergeCell ref="A8:A9"/>
    <mergeCell ref="B8:B9"/>
    <mergeCell ref="C8:F8"/>
    <mergeCell ref="G8:H8"/>
    <mergeCell ref="I8:I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9372B-CB68-475D-8AC4-1C2C2B001C98}">
  <sheetPr codeName="Лист4"/>
  <dimension ref="A2"/>
  <sheetViews>
    <sheetView workbookViewId="0">
      <selection activeCell="N9" sqref="N9"/>
    </sheetView>
  </sheetViews>
  <sheetFormatPr defaultRowHeight="14.4" x14ac:dyDescent="0.3"/>
  <sheetData>
    <row r="2" spans="1:1" x14ac:dyDescent="0.3">
      <c r="A2" t="s">
        <v>61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BF9B-1904-4FAC-94CF-F4A10A17B0E5}">
  <sheetPr codeName="Лист5" filterMode="1"/>
  <dimension ref="A1:H17"/>
  <sheetViews>
    <sheetView workbookViewId="0">
      <selection activeCell="G22" sqref="G22"/>
    </sheetView>
  </sheetViews>
  <sheetFormatPr defaultRowHeight="14.4" outlineLevelCol="2" x14ac:dyDescent="0.3"/>
  <cols>
    <col min="2" max="2" width="18.6640625" customWidth="1"/>
    <col min="3" max="3" width="11.21875" customWidth="1"/>
    <col min="4" max="4" width="19.77734375" customWidth="1" outlineLevel="2"/>
    <col min="5" max="5" width="16.6640625" customWidth="1" outlineLevel="2"/>
    <col min="6" max="6" width="9.88671875" customWidth="1" outlineLevel="2"/>
    <col min="7" max="7" width="25.21875" customWidth="1" outlineLevel="1"/>
    <col min="8" max="8" width="31.6640625" customWidth="1"/>
  </cols>
  <sheetData>
    <row r="1" spans="1:8" x14ac:dyDescent="0.3">
      <c r="A1" s="41" t="s">
        <v>62</v>
      </c>
      <c r="B1" s="41" t="s">
        <v>63</v>
      </c>
      <c r="C1" s="41" t="s">
        <v>64</v>
      </c>
      <c r="D1" s="41" t="s">
        <v>18</v>
      </c>
      <c r="E1" s="78" t="s">
        <v>65</v>
      </c>
      <c r="F1" s="41" t="s">
        <v>66</v>
      </c>
      <c r="G1" s="41" t="s">
        <v>67</v>
      </c>
      <c r="H1" s="41" t="s">
        <v>68</v>
      </c>
    </row>
    <row r="2" spans="1:8" x14ac:dyDescent="0.3">
      <c r="A2">
        <v>9</v>
      </c>
      <c r="B2" t="s">
        <v>87</v>
      </c>
      <c r="C2" t="s">
        <v>93</v>
      </c>
      <c r="D2" t="s">
        <v>94</v>
      </c>
      <c r="E2" s="79" t="s">
        <v>72</v>
      </c>
      <c r="F2">
        <v>5109</v>
      </c>
      <c r="G2" t="s">
        <v>95</v>
      </c>
      <c r="H2">
        <v>1906</v>
      </c>
    </row>
    <row r="3" spans="1:8" x14ac:dyDescent="0.3">
      <c r="A3">
        <v>3</v>
      </c>
      <c r="B3" t="s">
        <v>73</v>
      </c>
      <c r="C3" t="s">
        <v>70</v>
      </c>
      <c r="D3" t="s">
        <v>77</v>
      </c>
      <c r="E3" s="79" t="s">
        <v>72</v>
      </c>
      <c r="F3">
        <v>5193</v>
      </c>
      <c r="G3" t="s">
        <v>78</v>
      </c>
      <c r="H3">
        <v>1888</v>
      </c>
    </row>
    <row r="4" spans="1:8" hidden="1" x14ac:dyDescent="0.3">
      <c r="A4">
        <v>8</v>
      </c>
      <c r="B4" t="s">
        <v>87</v>
      </c>
      <c r="C4" t="s">
        <v>91</v>
      </c>
      <c r="D4" t="s">
        <v>91</v>
      </c>
      <c r="E4" t="s">
        <v>72</v>
      </c>
      <c r="F4">
        <v>5199</v>
      </c>
      <c r="G4" t="s">
        <v>92</v>
      </c>
      <c r="H4">
        <v>5199</v>
      </c>
    </row>
    <row r="5" spans="1:8" x14ac:dyDescent="0.3">
      <c r="A5">
        <v>2</v>
      </c>
      <c r="B5" t="s">
        <v>73</v>
      </c>
      <c r="C5" t="s">
        <v>70</v>
      </c>
      <c r="D5" t="s">
        <v>75</v>
      </c>
      <c r="E5" s="79" t="s">
        <v>72</v>
      </c>
      <c r="F5">
        <v>5204</v>
      </c>
      <c r="G5" t="s">
        <v>76</v>
      </c>
      <c r="H5">
        <v>1888</v>
      </c>
    </row>
    <row r="6" spans="1:8" x14ac:dyDescent="0.3">
      <c r="A6">
        <v>12</v>
      </c>
      <c r="B6" t="s">
        <v>96</v>
      </c>
      <c r="C6" t="s">
        <v>97</v>
      </c>
      <c r="D6" t="s">
        <v>102</v>
      </c>
      <c r="E6" s="79" t="s">
        <v>72</v>
      </c>
      <c r="F6">
        <v>5303</v>
      </c>
      <c r="G6" t="s">
        <v>103</v>
      </c>
      <c r="H6">
        <v>1934</v>
      </c>
    </row>
    <row r="7" spans="1:8" x14ac:dyDescent="0.3">
      <c r="A7">
        <v>11</v>
      </c>
      <c r="B7" t="s">
        <v>96</v>
      </c>
      <c r="C7" t="s">
        <v>97</v>
      </c>
      <c r="D7" t="s">
        <v>101</v>
      </c>
      <c r="E7" s="79" t="s">
        <v>72</v>
      </c>
      <c r="F7">
        <v>5489</v>
      </c>
      <c r="G7" t="s">
        <v>95</v>
      </c>
      <c r="H7">
        <v>1897</v>
      </c>
    </row>
    <row r="8" spans="1:8" x14ac:dyDescent="0.3">
      <c r="A8">
        <v>1</v>
      </c>
      <c r="B8" t="s">
        <v>73</v>
      </c>
      <c r="C8" t="s">
        <v>70</v>
      </c>
      <c r="D8" t="s">
        <v>71</v>
      </c>
      <c r="E8" s="79" t="s">
        <v>72</v>
      </c>
      <c r="F8">
        <v>5642</v>
      </c>
      <c r="G8" t="s">
        <v>74</v>
      </c>
      <c r="H8">
        <v>1829</v>
      </c>
    </row>
    <row r="9" spans="1:8" x14ac:dyDescent="0.3">
      <c r="A9">
        <v>7</v>
      </c>
      <c r="B9" t="s">
        <v>87</v>
      </c>
      <c r="C9" t="s">
        <v>88</v>
      </c>
      <c r="D9" t="s">
        <v>89</v>
      </c>
      <c r="E9" s="79" t="s">
        <v>72</v>
      </c>
      <c r="F9">
        <v>5881</v>
      </c>
      <c r="G9" t="s">
        <v>90</v>
      </c>
      <c r="H9">
        <v>1889</v>
      </c>
    </row>
    <row r="10" spans="1:8" x14ac:dyDescent="0.3">
      <c r="A10">
        <v>10</v>
      </c>
      <c r="B10" t="s">
        <v>96</v>
      </c>
      <c r="C10" t="s">
        <v>97</v>
      </c>
      <c r="D10" t="s">
        <v>98</v>
      </c>
      <c r="E10" s="79" t="s">
        <v>99</v>
      </c>
      <c r="F10">
        <v>6190</v>
      </c>
      <c r="G10" t="s">
        <v>100</v>
      </c>
      <c r="H10">
        <v>1913</v>
      </c>
    </row>
    <row r="11" spans="1:8" x14ac:dyDescent="0.3">
      <c r="A11">
        <v>15</v>
      </c>
      <c r="B11" t="s">
        <v>104</v>
      </c>
      <c r="C11" t="s">
        <v>105</v>
      </c>
      <c r="D11" t="s">
        <v>110</v>
      </c>
      <c r="E11" s="79" t="s">
        <v>99</v>
      </c>
      <c r="F11">
        <v>6795</v>
      </c>
      <c r="G11" t="s">
        <v>111</v>
      </c>
      <c r="H11">
        <v>1937</v>
      </c>
    </row>
    <row r="12" spans="1:8" x14ac:dyDescent="0.3">
      <c r="A12">
        <v>14</v>
      </c>
      <c r="B12" t="s">
        <v>104</v>
      </c>
      <c r="C12" t="s">
        <v>105</v>
      </c>
      <c r="D12" t="s">
        <v>108</v>
      </c>
      <c r="E12" s="79" t="s">
        <v>99</v>
      </c>
      <c r="F12">
        <v>6887</v>
      </c>
      <c r="G12" t="s">
        <v>109</v>
      </c>
      <c r="H12">
        <v>1937</v>
      </c>
    </row>
    <row r="13" spans="1:8" x14ac:dyDescent="0.3">
      <c r="A13">
        <v>13</v>
      </c>
      <c r="B13" t="s">
        <v>104</v>
      </c>
      <c r="C13" t="s">
        <v>105</v>
      </c>
      <c r="D13" t="s">
        <v>106</v>
      </c>
      <c r="E13" s="79" t="s">
        <v>99</v>
      </c>
      <c r="F13">
        <v>6960</v>
      </c>
      <c r="G13" t="s">
        <v>107</v>
      </c>
      <c r="H13">
        <v>1897</v>
      </c>
    </row>
    <row r="14" spans="1:8" x14ac:dyDescent="0.3">
      <c r="A14">
        <v>6</v>
      </c>
      <c r="B14" t="s">
        <v>69</v>
      </c>
      <c r="C14" t="s">
        <v>79</v>
      </c>
      <c r="D14" t="s">
        <v>85</v>
      </c>
      <c r="E14" s="79" t="s">
        <v>81</v>
      </c>
      <c r="F14">
        <v>8516</v>
      </c>
      <c r="G14" t="s">
        <v>86</v>
      </c>
      <c r="H14">
        <v>1956</v>
      </c>
    </row>
    <row r="15" spans="1:8" x14ac:dyDescent="0.3">
      <c r="A15">
        <v>5</v>
      </c>
      <c r="B15" t="s">
        <v>69</v>
      </c>
      <c r="C15" t="s">
        <v>79</v>
      </c>
      <c r="D15" t="s">
        <v>83</v>
      </c>
      <c r="E15" s="79" t="s">
        <v>81</v>
      </c>
      <c r="F15">
        <v>8614</v>
      </c>
      <c r="G15" t="s">
        <v>84</v>
      </c>
      <c r="H15">
        <v>1954</v>
      </c>
    </row>
    <row r="16" spans="1:8" x14ac:dyDescent="0.3">
      <c r="A16">
        <v>4</v>
      </c>
      <c r="B16" t="s">
        <v>69</v>
      </c>
      <c r="C16" t="s">
        <v>79</v>
      </c>
      <c r="D16" t="s">
        <v>80</v>
      </c>
      <c r="E16" s="79" t="s">
        <v>81</v>
      </c>
      <c r="F16">
        <v>8848</v>
      </c>
      <c r="G16" t="s">
        <v>82</v>
      </c>
      <c r="H16">
        <v>1953</v>
      </c>
    </row>
    <row r="17" spans="1:5" hidden="1" x14ac:dyDescent="0.3">
      <c r="A17">
        <v>20</v>
      </c>
      <c r="B17" t="s">
        <v>69</v>
      </c>
      <c r="C17" t="s">
        <v>79</v>
      </c>
      <c r="D17" t="s">
        <v>80</v>
      </c>
      <c r="E17">
        <v>1</v>
      </c>
    </row>
  </sheetData>
  <autoFilter ref="A1:H17" xr:uid="{B892CEDA-98E2-4733-A454-49E9A87B2C1A}">
    <filterColumn colId="0">
      <customFilters and="1">
        <customFilter operator="greaterThanOrEqual" val="1"/>
        <customFilter operator="lessThanOrEqual" val="15"/>
      </customFilters>
    </filterColumn>
    <filterColumn colId="4">
      <customFilters and="1">
        <customFilter val="????-????"/>
        <customFilter val="????-????"/>
      </customFilters>
    </filterColumn>
    <filterColumn colId="7">
      <customFilters and="1">
        <customFilter operator="greaterThanOrEqual" val="1800"/>
        <customFilter operator="lessThanOrEqual" val="2000"/>
      </customFilters>
    </filterColumn>
    <sortState xmlns:xlrd2="http://schemas.microsoft.com/office/spreadsheetml/2017/richdata2" ref="A2:H16">
      <sortCondition ref="E1:E17"/>
    </sortState>
  </autoFilter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53347-BB16-4482-AAAF-5FD2E5EA2336}">
  <sheetPr codeName="Лист6"/>
  <dimension ref="A1:D17"/>
  <sheetViews>
    <sheetView workbookViewId="0">
      <selection activeCell="A16" sqref="A16"/>
    </sheetView>
  </sheetViews>
  <sheetFormatPr defaultRowHeight="14.4" x14ac:dyDescent="0.3"/>
  <cols>
    <col min="1" max="1" width="23.44140625" customWidth="1"/>
    <col min="2" max="2" width="14" customWidth="1"/>
    <col min="3" max="3" width="14.109375" customWidth="1"/>
  </cols>
  <sheetData>
    <row r="1" spans="1:4" x14ac:dyDescent="0.3">
      <c r="A1" t="s">
        <v>112</v>
      </c>
    </row>
    <row r="2" spans="1:4" x14ac:dyDescent="0.3">
      <c r="A2" s="74" t="s">
        <v>113</v>
      </c>
      <c r="B2" s="74" t="s">
        <v>114</v>
      </c>
      <c r="C2" s="74" t="s">
        <v>115</v>
      </c>
    </row>
    <row r="3" spans="1:4" x14ac:dyDescent="0.3">
      <c r="A3" s="70" t="s">
        <v>116</v>
      </c>
      <c r="B3" s="70">
        <v>5</v>
      </c>
      <c r="C3" s="80">
        <f>IFERROR(VLOOKUP(A3,ВПР2!$A$2:$B$15,2,TRUE)*B3, "Нет на рынке")</f>
        <v>150</v>
      </c>
    </row>
    <row r="4" spans="1:4" x14ac:dyDescent="0.3">
      <c r="A4" s="70" t="s">
        <v>117</v>
      </c>
      <c r="B4" s="70">
        <v>10</v>
      </c>
      <c r="C4" s="80">
        <f>IFERROR(VLOOKUP(A4,ВПР2!$A$2:$B$15,2,TRUE)*B4, "Нет на рынке")</f>
        <v>1000</v>
      </c>
    </row>
    <row r="5" spans="1:4" x14ac:dyDescent="0.3">
      <c r="A5" s="70" t="s">
        <v>118</v>
      </c>
      <c r="B5" s="70">
        <v>3</v>
      </c>
      <c r="C5" s="80">
        <f>IFERROR(VLOOKUP(A5,ВПР2!$A$2:$B$15,2,TRUE)*B5, "Нет на рынке")</f>
        <v>900</v>
      </c>
    </row>
    <row r="6" spans="1:4" x14ac:dyDescent="0.3">
      <c r="A6" s="70" t="s">
        <v>119</v>
      </c>
      <c r="B6" s="70">
        <v>23</v>
      </c>
      <c r="C6" s="80">
        <f>IFERROR(VLOOKUP(A6,ВПР2!$A$2:$B$15,2,TRUE)*B6, "Нет на рынке")</f>
        <v>345</v>
      </c>
    </row>
    <row r="7" spans="1:4" x14ac:dyDescent="0.3">
      <c r="A7" s="70" t="s">
        <v>120</v>
      </c>
      <c r="B7" s="70">
        <v>6</v>
      </c>
      <c r="C7" s="80">
        <f>IFERROR(VLOOKUP(A7,ВПР2!$A$2:$B$15,2,TRUE)*B7, "Нет на рынке")</f>
        <v>150</v>
      </c>
    </row>
    <row r="8" spans="1:4" x14ac:dyDescent="0.3">
      <c r="A8" s="70" t="s">
        <v>121</v>
      </c>
      <c r="B8" s="70">
        <v>11</v>
      </c>
      <c r="C8" s="80">
        <f>IFERROR(VLOOKUP(A8,ВПР2!$A$2:$B$15,2,TRUE)*B8, "Нет на рынке")</f>
        <v>880</v>
      </c>
    </row>
    <row r="9" spans="1:4" x14ac:dyDescent="0.3">
      <c r="A9" s="70" t="s">
        <v>122</v>
      </c>
      <c r="B9" s="70">
        <v>11</v>
      </c>
      <c r="C9" s="80">
        <f>IFERROR(VLOOKUP(A9,ВПР2!$A$2:$B$15,2,TRUE)*B9, "Нет на рынке")</f>
        <v>1045</v>
      </c>
    </row>
    <row r="10" spans="1:4" x14ac:dyDescent="0.3">
      <c r="A10" s="70" t="s">
        <v>123</v>
      </c>
      <c r="B10" s="70">
        <v>9</v>
      </c>
      <c r="C10" s="80">
        <f>IFERROR(VLOOKUP(A10,ВПР2!$A$2:$B$15,2,TRUE)*B10, "Нет на рынке")</f>
        <v>900</v>
      </c>
    </row>
    <row r="11" spans="1:4" x14ac:dyDescent="0.3">
      <c r="A11" s="70" t="s">
        <v>124</v>
      </c>
      <c r="B11" s="70">
        <v>7</v>
      </c>
      <c r="C11" s="80">
        <f>IFERROR(VLOOKUP(A11,ВПР2!$A$2:$B$15,2,TRUE)*B11, "Нет на рынке")</f>
        <v>157.5</v>
      </c>
    </row>
    <row r="12" spans="1:4" x14ac:dyDescent="0.3">
      <c r="A12" s="70" t="s">
        <v>125</v>
      </c>
      <c r="B12" s="70">
        <v>2</v>
      </c>
      <c r="C12" s="80">
        <f>IFERROR(VLOOKUP(A12,ВПР2!$A$2:$B$15,2,TRUE)*B12, "Нет на рынке")</f>
        <v>800</v>
      </c>
    </row>
    <row r="13" spans="1:4" x14ac:dyDescent="0.3">
      <c r="A13" s="70" t="s">
        <v>126</v>
      </c>
      <c r="B13" s="71">
        <v>6.5</v>
      </c>
      <c r="C13" s="80">
        <f>IFERROR(VLOOKUP(A13,ВПР2!$A$2:$B$15,2,TRUE)*B13, "Нет на рынке")</f>
        <v>2210</v>
      </c>
    </row>
    <row r="14" spans="1:4" x14ac:dyDescent="0.3">
      <c r="A14" s="70" t="s">
        <v>127</v>
      </c>
      <c r="B14" s="70">
        <v>1</v>
      </c>
      <c r="C14" s="80">
        <f>IFERROR(VLOOKUP(A14,ВПР2!$A$2:$B$15,2,TRUE)*B14, "Нет на рынке")</f>
        <v>515</v>
      </c>
    </row>
    <row r="15" spans="1:4" x14ac:dyDescent="0.3">
      <c r="A15" s="70" t="s">
        <v>128</v>
      </c>
      <c r="B15" s="70">
        <v>0.5</v>
      </c>
      <c r="C15" s="80">
        <f>IFERROR(VLOOKUP(A15,ВПР2!$A$2:$B$15,2,TRUE)*B15, "Нет на рынке")</f>
        <v>50</v>
      </c>
      <c r="D15" t="s">
        <v>133</v>
      </c>
    </row>
    <row r="16" spans="1:4" x14ac:dyDescent="0.3">
      <c r="A16" s="70" t="s">
        <v>129</v>
      </c>
      <c r="B16" s="70">
        <v>0.5</v>
      </c>
      <c r="C16" s="80">
        <f>IFERROR(VLOOKUP(A16,ВПР2!$A$2:$B$15,2,TRUE)*B16, "Нет на рынке")</f>
        <v>400</v>
      </c>
    </row>
    <row r="17" spans="2:3" x14ac:dyDescent="0.3">
      <c r="B17" s="72" t="s">
        <v>130</v>
      </c>
      <c r="C17" s="110">
        <f>SUM(C3:C16)</f>
        <v>9502.5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761A6-F0D0-417D-8B8C-0806FA4EBD25}">
  <sheetPr codeName="Лист8"/>
  <dimension ref="A1:B15"/>
  <sheetViews>
    <sheetView workbookViewId="0">
      <selection activeCell="A15" sqref="A15"/>
    </sheetView>
  </sheetViews>
  <sheetFormatPr defaultRowHeight="14.4" x14ac:dyDescent="0.3"/>
  <cols>
    <col min="1" max="1" width="31" customWidth="1"/>
    <col min="2" max="2" width="13" customWidth="1"/>
  </cols>
  <sheetData>
    <row r="1" spans="1:2" x14ac:dyDescent="0.3">
      <c r="A1" s="74" t="s">
        <v>131</v>
      </c>
      <c r="B1" s="74" t="s">
        <v>132</v>
      </c>
    </row>
    <row r="2" spans="1:2" x14ac:dyDescent="0.3">
      <c r="A2" s="70" t="s">
        <v>116</v>
      </c>
      <c r="B2" s="71">
        <v>30</v>
      </c>
    </row>
    <row r="3" spans="1:2" x14ac:dyDescent="0.3">
      <c r="A3" s="73" t="s">
        <v>125</v>
      </c>
      <c r="B3" s="71">
        <v>400</v>
      </c>
    </row>
    <row r="4" spans="1:2" x14ac:dyDescent="0.3">
      <c r="A4" s="70" t="s">
        <v>118</v>
      </c>
      <c r="B4" s="71">
        <v>300</v>
      </c>
    </row>
    <row r="5" spans="1:2" x14ac:dyDescent="0.3">
      <c r="A5" s="70" t="s">
        <v>127</v>
      </c>
      <c r="B5" s="71">
        <v>515</v>
      </c>
    </row>
    <row r="6" spans="1:2" x14ac:dyDescent="0.3">
      <c r="A6" s="70" t="s">
        <v>124</v>
      </c>
      <c r="B6" s="71">
        <v>22.5</v>
      </c>
    </row>
    <row r="7" spans="1:2" x14ac:dyDescent="0.3">
      <c r="A7" s="70" t="s">
        <v>119</v>
      </c>
      <c r="B7" s="71">
        <v>15</v>
      </c>
    </row>
    <row r="8" spans="1:2" x14ac:dyDescent="0.3">
      <c r="A8" s="70" t="s">
        <v>120</v>
      </c>
      <c r="B8" s="71">
        <v>25</v>
      </c>
    </row>
    <row r="9" spans="1:2" x14ac:dyDescent="0.3">
      <c r="A9" s="70" t="s">
        <v>122</v>
      </c>
      <c r="B9" s="71">
        <v>95</v>
      </c>
    </row>
    <row r="10" spans="1:2" x14ac:dyDescent="0.3">
      <c r="A10" s="70" t="s">
        <v>129</v>
      </c>
      <c r="B10" s="71">
        <v>800</v>
      </c>
    </row>
    <row r="11" spans="1:2" x14ac:dyDescent="0.3">
      <c r="A11" s="70" t="s">
        <v>121</v>
      </c>
      <c r="B11" s="71">
        <v>80</v>
      </c>
    </row>
    <row r="12" spans="1:2" x14ac:dyDescent="0.3">
      <c r="A12" s="70" t="s">
        <v>160</v>
      </c>
      <c r="B12" s="71">
        <v>70</v>
      </c>
    </row>
    <row r="13" spans="1:2" x14ac:dyDescent="0.3">
      <c r="A13" s="70" t="s">
        <v>161</v>
      </c>
      <c r="B13" s="71">
        <v>100</v>
      </c>
    </row>
    <row r="14" spans="1:2" x14ac:dyDescent="0.3">
      <c r="A14" s="70" t="s">
        <v>159</v>
      </c>
      <c r="B14" s="71">
        <v>45</v>
      </c>
    </row>
    <row r="15" spans="1:2" x14ac:dyDescent="0.3">
      <c r="A15" s="70" t="s">
        <v>126</v>
      </c>
      <c r="B15" s="71">
        <v>340</v>
      </c>
    </row>
  </sheetData>
  <autoFilter ref="A1:B15" xr:uid="{6FF36C0E-F516-4825-9E22-FAF6B36D3B8F}">
    <sortState xmlns:xlrd2="http://schemas.microsoft.com/office/spreadsheetml/2017/richdata2" ref="A2:B15">
      <sortCondition ref="A1:A15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FAAA4-DCC3-4A7E-936E-1ACF21B8D047}">
  <sheetPr codeName="Лист7"/>
  <dimension ref="A1:E10"/>
  <sheetViews>
    <sheetView workbookViewId="0">
      <selection activeCell="D3" sqref="D3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9" t="s">
        <v>134</v>
      </c>
      <c r="B1" s="99"/>
      <c r="C1" s="99"/>
      <c r="D1" s="99"/>
      <c r="E1" s="99"/>
    </row>
    <row r="3" spans="1:5" x14ac:dyDescent="0.3">
      <c r="A3" s="88" t="s">
        <v>135</v>
      </c>
      <c r="B3" s="88"/>
      <c r="C3" s="88"/>
      <c r="D3" s="29">
        <v>43743</v>
      </c>
    </row>
    <row r="5" spans="1:5" x14ac:dyDescent="0.3">
      <c r="A5" s="100" t="s">
        <v>136</v>
      </c>
      <c r="B5" s="100"/>
      <c r="C5" s="75">
        <v>1</v>
      </c>
    </row>
    <row r="6" spans="1:5" x14ac:dyDescent="0.3">
      <c r="A6" s="42" t="s">
        <v>137</v>
      </c>
      <c r="B6" s="42" t="s">
        <v>138</v>
      </c>
      <c r="C6" s="42" t="s">
        <v>139</v>
      </c>
      <c r="D6" s="42" t="s">
        <v>140</v>
      </c>
      <c r="E6" s="42" t="s">
        <v>141</v>
      </c>
    </row>
    <row r="7" spans="1:5" x14ac:dyDescent="0.3">
      <c r="A7" s="76">
        <v>43743</v>
      </c>
      <c r="B7" s="77">
        <v>0.41666666666666669</v>
      </c>
      <c r="C7" s="70" t="s">
        <v>142</v>
      </c>
      <c r="D7" s="70" t="s">
        <v>143</v>
      </c>
      <c r="E7" s="70"/>
    </row>
    <row r="8" spans="1:5" x14ac:dyDescent="0.3">
      <c r="A8" s="76">
        <v>43743</v>
      </c>
      <c r="B8" s="77">
        <v>0.5</v>
      </c>
      <c r="C8" s="70" t="s">
        <v>144</v>
      </c>
      <c r="D8" s="70" t="s">
        <v>145</v>
      </c>
      <c r="E8" s="70"/>
    </row>
    <row r="9" spans="1:5" x14ac:dyDescent="0.3">
      <c r="A9" s="76">
        <v>43744</v>
      </c>
      <c r="B9" s="77">
        <v>0.41666666666666669</v>
      </c>
      <c r="C9" s="70" t="s">
        <v>146</v>
      </c>
      <c r="D9" s="70" t="s">
        <v>147</v>
      </c>
      <c r="E9" s="70"/>
    </row>
    <row r="10" spans="1:5" x14ac:dyDescent="0.3">
      <c r="A10" s="76">
        <v>43744</v>
      </c>
      <c r="B10" s="77">
        <v>0.5</v>
      </c>
      <c r="C10" s="70" t="s">
        <v>148</v>
      </c>
      <c r="D10" s="70" t="s">
        <v>149</v>
      </c>
      <c r="E10" s="70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50AC5-3754-4EE1-A3C9-E30208208213}">
  <sheetPr codeName="Лист9"/>
  <dimension ref="A1:E10"/>
  <sheetViews>
    <sheetView workbookViewId="0">
      <selection activeCell="I19" sqref="I19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9" t="s">
        <v>150</v>
      </c>
      <c r="B1" s="99"/>
      <c r="C1" s="99"/>
      <c r="D1" s="99"/>
      <c r="E1" s="99"/>
    </row>
    <row r="3" spans="1:5" x14ac:dyDescent="0.3">
      <c r="A3" s="88" t="s">
        <v>135</v>
      </c>
      <c r="B3" s="88"/>
      <c r="C3" s="88"/>
      <c r="D3" s="29">
        <v>43743</v>
      </c>
    </row>
    <row r="5" spans="1:5" x14ac:dyDescent="0.3">
      <c r="A5" s="100" t="s">
        <v>136</v>
      </c>
      <c r="B5" s="100"/>
      <c r="C5" s="75">
        <v>2</v>
      </c>
    </row>
    <row r="6" spans="1:5" x14ac:dyDescent="0.3">
      <c r="A6" s="42" t="s">
        <v>137</v>
      </c>
      <c r="B6" s="42" t="s">
        <v>138</v>
      </c>
      <c r="C6" s="42" t="s">
        <v>139</v>
      </c>
      <c r="D6" s="42" t="s">
        <v>140</v>
      </c>
      <c r="E6" s="42" t="s">
        <v>141</v>
      </c>
    </row>
    <row r="7" spans="1:5" x14ac:dyDescent="0.3">
      <c r="A7" s="76">
        <v>43750</v>
      </c>
      <c r="B7" s="77">
        <v>0.41666666666666669</v>
      </c>
      <c r="C7" s="70" t="s">
        <v>142</v>
      </c>
      <c r="D7" s="70" t="s">
        <v>145</v>
      </c>
      <c r="E7" s="70"/>
    </row>
    <row r="8" spans="1:5" x14ac:dyDescent="0.3">
      <c r="A8" s="76">
        <v>43750</v>
      </c>
      <c r="B8" s="77">
        <v>0.5</v>
      </c>
      <c r="C8" s="70" t="s">
        <v>144</v>
      </c>
      <c r="D8" s="70" t="s">
        <v>147</v>
      </c>
      <c r="E8" s="70"/>
    </row>
    <row r="9" spans="1:5" x14ac:dyDescent="0.3">
      <c r="A9" s="76">
        <v>43751</v>
      </c>
      <c r="B9" s="77">
        <v>0.41666666666666669</v>
      </c>
      <c r="C9" s="70" t="s">
        <v>146</v>
      </c>
      <c r="D9" s="70" t="s">
        <v>149</v>
      </c>
      <c r="E9" s="70"/>
    </row>
    <row r="10" spans="1:5" x14ac:dyDescent="0.3">
      <c r="A10" s="76">
        <v>43751</v>
      </c>
      <c r="B10" s="77">
        <v>0.5</v>
      </c>
      <c r="C10" s="70" t="s">
        <v>148</v>
      </c>
      <c r="D10" s="70" t="s">
        <v>143</v>
      </c>
      <c r="E10" s="70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05737-CD8E-410C-8BD3-15A2E950711C}">
  <sheetPr codeName="Лист10"/>
  <dimension ref="A1:E10"/>
  <sheetViews>
    <sheetView workbookViewId="0">
      <selection activeCell="J12" sqref="J12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9" t="s">
        <v>151</v>
      </c>
      <c r="B1" s="99"/>
      <c r="C1" s="99"/>
      <c r="D1" s="99"/>
      <c r="E1" s="99"/>
    </row>
    <row r="3" spans="1:5" x14ac:dyDescent="0.3">
      <c r="A3" s="88" t="s">
        <v>135</v>
      </c>
      <c r="B3" s="88"/>
      <c r="C3" s="88"/>
      <c r="D3" s="29">
        <v>43743</v>
      </c>
    </row>
    <row r="5" spans="1:5" x14ac:dyDescent="0.3">
      <c r="A5" s="100" t="s">
        <v>136</v>
      </c>
      <c r="B5" s="100"/>
      <c r="C5" s="75">
        <v>3</v>
      </c>
    </row>
    <row r="6" spans="1:5" x14ac:dyDescent="0.3">
      <c r="A6" s="42" t="s">
        <v>137</v>
      </c>
      <c r="B6" s="42" t="s">
        <v>138</v>
      </c>
      <c r="C6" s="42" t="s">
        <v>139</v>
      </c>
      <c r="D6" s="42" t="s">
        <v>140</v>
      </c>
      <c r="E6" s="42" t="s">
        <v>141</v>
      </c>
    </row>
    <row r="7" spans="1:5" x14ac:dyDescent="0.3">
      <c r="A7" s="76">
        <v>43757</v>
      </c>
      <c r="B7" s="77">
        <v>0.41666666666666669</v>
      </c>
      <c r="C7" s="70" t="s">
        <v>142</v>
      </c>
      <c r="D7" s="70" t="s">
        <v>147</v>
      </c>
      <c r="E7" s="70"/>
    </row>
    <row r="8" spans="1:5" x14ac:dyDescent="0.3">
      <c r="A8" s="76">
        <v>43757</v>
      </c>
      <c r="B8" s="77">
        <v>0.5</v>
      </c>
      <c r="C8" s="70" t="s">
        <v>144</v>
      </c>
      <c r="D8" s="70" t="s">
        <v>149</v>
      </c>
      <c r="E8" s="70"/>
    </row>
    <row r="9" spans="1:5" x14ac:dyDescent="0.3">
      <c r="A9" s="76">
        <v>43758</v>
      </c>
      <c r="B9" s="77">
        <v>0.41666666666666669</v>
      </c>
      <c r="C9" s="70" t="s">
        <v>146</v>
      </c>
      <c r="D9" s="70" t="s">
        <v>143</v>
      </c>
      <c r="E9" s="70"/>
    </row>
    <row r="10" spans="1:5" x14ac:dyDescent="0.3">
      <c r="A10" s="76">
        <v>43758</v>
      </c>
      <c r="B10" s="77">
        <v>0.5</v>
      </c>
      <c r="C10" s="70" t="s">
        <v>148</v>
      </c>
      <c r="D10" s="70" t="s">
        <v>145</v>
      </c>
      <c r="E10" s="70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9CA0F-5583-4B1D-B502-31CADCFF3C9F}">
  <sheetPr codeName="Лист11"/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9" t="s">
        <v>152</v>
      </c>
      <c r="B1" s="99"/>
      <c r="C1" s="99"/>
      <c r="D1" s="99"/>
      <c r="E1" s="99"/>
    </row>
    <row r="3" spans="1:5" x14ac:dyDescent="0.3">
      <c r="A3" s="88" t="s">
        <v>135</v>
      </c>
      <c r="B3" s="88"/>
      <c r="C3" s="88"/>
      <c r="D3" s="29">
        <v>43743</v>
      </c>
    </row>
    <row r="5" spans="1:5" x14ac:dyDescent="0.3">
      <c r="A5" s="100" t="s">
        <v>136</v>
      </c>
      <c r="B5" s="100"/>
      <c r="C5" s="75">
        <v>4</v>
      </c>
    </row>
    <row r="6" spans="1:5" x14ac:dyDescent="0.3">
      <c r="A6" s="42" t="s">
        <v>137</v>
      </c>
      <c r="B6" s="42" t="s">
        <v>138</v>
      </c>
      <c r="C6" s="42" t="s">
        <v>139</v>
      </c>
      <c r="D6" s="42" t="s">
        <v>140</v>
      </c>
      <c r="E6" s="42" t="s">
        <v>141</v>
      </c>
    </row>
    <row r="7" spans="1:5" x14ac:dyDescent="0.3">
      <c r="A7" s="76">
        <v>43764</v>
      </c>
      <c r="B7" s="77">
        <v>0.41666666666666669</v>
      </c>
      <c r="C7" s="70" t="s">
        <v>142</v>
      </c>
      <c r="D7" s="70" t="s">
        <v>149</v>
      </c>
      <c r="E7" s="70"/>
    </row>
    <row r="8" spans="1:5" x14ac:dyDescent="0.3">
      <c r="A8" s="76">
        <v>43764</v>
      </c>
      <c r="B8" s="77">
        <v>0.5</v>
      </c>
      <c r="C8" s="70" t="s">
        <v>144</v>
      </c>
      <c r="D8" s="70" t="s">
        <v>143</v>
      </c>
      <c r="E8" s="70"/>
    </row>
    <row r="9" spans="1:5" x14ac:dyDescent="0.3">
      <c r="A9" s="76">
        <v>43765</v>
      </c>
      <c r="B9" s="77">
        <v>0.41666666666666669</v>
      </c>
      <c r="C9" s="70" t="s">
        <v>146</v>
      </c>
      <c r="D9" s="70" t="s">
        <v>145</v>
      </c>
      <c r="E9" s="70"/>
    </row>
    <row r="10" spans="1:5" x14ac:dyDescent="0.3">
      <c r="A10" s="76">
        <v>43765</v>
      </c>
      <c r="B10" s="77">
        <v>0.5</v>
      </c>
      <c r="C10" s="70" t="s">
        <v>148</v>
      </c>
      <c r="D10" s="70" t="s">
        <v>147</v>
      </c>
      <c r="E10" s="70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F413C-301B-4D78-B118-EBD1DF1BBDEF}">
  <sheetPr codeName="Лист12"/>
  <dimension ref="A1:E10"/>
  <sheetViews>
    <sheetView workbookViewId="0">
      <selection activeCell="J15" sqref="J15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9" t="s">
        <v>153</v>
      </c>
      <c r="B1" s="99"/>
      <c r="C1" s="99"/>
      <c r="D1" s="99"/>
      <c r="E1" s="99"/>
    </row>
    <row r="3" spans="1:5" x14ac:dyDescent="0.3">
      <c r="A3" s="88" t="s">
        <v>135</v>
      </c>
      <c r="B3" s="88"/>
      <c r="C3" s="88"/>
      <c r="D3" s="29">
        <v>43743</v>
      </c>
    </row>
    <row r="5" spans="1:5" x14ac:dyDescent="0.3">
      <c r="A5" s="100" t="s">
        <v>136</v>
      </c>
      <c r="B5" s="100"/>
      <c r="C5" s="75">
        <v>5</v>
      </c>
    </row>
    <row r="6" spans="1:5" x14ac:dyDescent="0.3">
      <c r="A6" s="42" t="s">
        <v>137</v>
      </c>
      <c r="B6" s="42" t="s">
        <v>138</v>
      </c>
      <c r="C6" s="42" t="s">
        <v>139</v>
      </c>
      <c r="D6" s="42" t="s">
        <v>140</v>
      </c>
      <c r="E6" s="42" t="s">
        <v>141</v>
      </c>
    </row>
    <row r="7" spans="1:5" x14ac:dyDescent="0.3">
      <c r="A7" s="76">
        <v>43771</v>
      </c>
      <c r="B7" s="77">
        <v>0.41666666666666669</v>
      </c>
      <c r="C7" s="70" t="s">
        <v>142</v>
      </c>
      <c r="D7" s="70" t="s">
        <v>144</v>
      </c>
      <c r="E7" s="70"/>
    </row>
    <row r="8" spans="1:5" x14ac:dyDescent="0.3">
      <c r="A8" s="76">
        <v>43771</v>
      </c>
      <c r="B8" s="77">
        <v>0.5</v>
      </c>
      <c r="C8" s="70" t="s">
        <v>146</v>
      </c>
      <c r="D8" s="70" t="s">
        <v>148</v>
      </c>
      <c r="E8" s="70"/>
    </row>
    <row r="9" spans="1:5" x14ac:dyDescent="0.3">
      <c r="A9" s="76">
        <v>43772</v>
      </c>
      <c r="B9" s="77">
        <v>0.41666666666666669</v>
      </c>
      <c r="C9" s="70" t="s">
        <v>143</v>
      </c>
      <c r="D9" s="70" t="s">
        <v>145</v>
      </c>
      <c r="E9" s="70"/>
    </row>
    <row r="10" spans="1:5" x14ac:dyDescent="0.3">
      <c r="A10" s="76">
        <v>43772</v>
      </c>
      <c r="B10" s="77">
        <v>0.5</v>
      </c>
      <c r="C10" s="70" t="s">
        <v>147</v>
      </c>
      <c r="D10" s="70" t="s">
        <v>149</v>
      </c>
      <c r="E10" s="70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8C088-38CE-4ECB-925E-1676FE3925A0}">
  <sheetPr codeName="Лист13"/>
  <dimension ref="A1:E10"/>
  <sheetViews>
    <sheetView workbookViewId="0">
      <selection activeCell="K18" sqref="K18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9" t="s">
        <v>154</v>
      </c>
      <c r="B1" s="99"/>
      <c r="C1" s="99"/>
      <c r="D1" s="99"/>
      <c r="E1" s="99"/>
    </row>
    <row r="3" spans="1:5" x14ac:dyDescent="0.3">
      <c r="A3" s="88" t="s">
        <v>135</v>
      </c>
      <c r="B3" s="88"/>
      <c r="C3" s="88"/>
      <c r="D3" s="29">
        <v>43743</v>
      </c>
    </row>
    <row r="5" spans="1:5" x14ac:dyDescent="0.3">
      <c r="A5" s="100" t="s">
        <v>136</v>
      </c>
      <c r="B5" s="100"/>
      <c r="C5" s="75">
        <v>6</v>
      </c>
    </row>
    <row r="6" spans="1:5" x14ac:dyDescent="0.3">
      <c r="A6" s="42" t="s">
        <v>137</v>
      </c>
      <c r="B6" s="42" t="s">
        <v>138</v>
      </c>
      <c r="C6" s="42" t="s">
        <v>139</v>
      </c>
      <c r="D6" s="42" t="s">
        <v>140</v>
      </c>
      <c r="E6" s="42" t="s">
        <v>141</v>
      </c>
    </row>
    <row r="7" spans="1:5" x14ac:dyDescent="0.3">
      <c r="A7" s="76">
        <v>43778</v>
      </c>
      <c r="B7" s="77">
        <v>0.41666666666666669</v>
      </c>
      <c r="C7" s="70" t="s">
        <v>142</v>
      </c>
      <c r="D7" s="70" t="s">
        <v>146</v>
      </c>
      <c r="E7" s="70"/>
    </row>
    <row r="8" spans="1:5" x14ac:dyDescent="0.3">
      <c r="A8" s="76">
        <v>43778</v>
      </c>
      <c r="B8" s="77">
        <v>0.5</v>
      </c>
      <c r="C8" s="70" t="s">
        <v>144</v>
      </c>
      <c r="D8" s="70" t="s">
        <v>148</v>
      </c>
      <c r="E8" s="70"/>
    </row>
    <row r="9" spans="1:5" x14ac:dyDescent="0.3">
      <c r="A9" s="76">
        <v>43779</v>
      </c>
      <c r="B9" s="77">
        <v>0.41666666666666669</v>
      </c>
      <c r="C9" s="70" t="s">
        <v>143</v>
      </c>
      <c r="D9" s="70" t="s">
        <v>147</v>
      </c>
      <c r="E9" s="70"/>
    </row>
    <row r="10" spans="1:5" x14ac:dyDescent="0.3">
      <c r="A10" s="76">
        <v>43779</v>
      </c>
      <c r="B10" s="77">
        <v>0.5</v>
      </c>
      <c r="C10" s="70" t="s">
        <v>145</v>
      </c>
      <c r="D10" s="70" t="s">
        <v>149</v>
      </c>
      <c r="E10" s="70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49913-DA4A-4366-84E3-2A7E954B4993}">
  <sheetPr codeName="Лист14"/>
  <dimension ref="A1:E10"/>
  <sheetViews>
    <sheetView tabSelected="1" workbookViewId="0">
      <selection activeCell="H11" sqref="H11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9" t="s">
        <v>155</v>
      </c>
      <c r="B1" s="99"/>
      <c r="C1" s="99"/>
      <c r="D1" s="99"/>
      <c r="E1" s="99"/>
    </row>
    <row r="3" spans="1:5" x14ac:dyDescent="0.3">
      <c r="A3" s="88" t="s">
        <v>135</v>
      </c>
      <c r="B3" s="88"/>
      <c r="C3" s="88"/>
      <c r="D3" s="29">
        <v>43743</v>
      </c>
    </row>
    <row r="5" spans="1:5" x14ac:dyDescent="0.3">
      <c r="A5" s="100" t="s">
        <v>136</v>
      </c>
      <c r="B5" s="100"/>
      <c r="C5" s="75">
        <v>7</v>
      </c>
    </row>
    <row r="6" spans="1:5" x14ac:dyDescent="0.3">
      <c r="A6" s="42" t="s">
        <v>137</v>
      </c>
      <c r="B6" s="42" t="s">
        <v>138</v>
      </c>
      <c r="C6" s="42" t="s">
        <v>139</v>
      </c>
      <c r="D6" s="42" t="s">
        <v>140</v>
      </c>
      <c r="E6" s="42" t="s">
        <v>141</v>
      </c>
    </row>
    <row r="7" spans="1:5" x14ac:dyDescent="0.3">
      <c r="A7" s="76">
        <v>43785</v>
      </c>
      <c r="B7" s="77">
        <v>0.41666666666666669</v>
      </c>
      <c r="C7" s="70" t="s">
        <v>142</v>
      </c>
      <c r="D7" s="70" t="s">
        <v>148</v>
      </c>
      <c r="E7" s="70"/>
    </row>
    <row r="8" spans="1:5" x14ac:dyDescent="0.3">
      <c r="A8" s="76">
        <v>43785</v>
      </c>
      <c r="B8" s="77">
        <v>0.5</v>
      </c>
      <c r="C8" s="70" t="s">
        <v>144</v>
      </c>
      <c r="D8" s="70" t="s">
        <v>146</v>
      </c>
      <c r="E8" s="70"/>
    </row>
    <row r="9" spans="1:5" x14ac:dyDescent="0.3">
      <c r="A9" s="76">
        <v>43786</v>
      </c>
      <c r="B9" s="77">
        <v>0.41666666666666669</v>
      </c>
      <c r="C9" s="70" t="s">
        <v>143</v>
      </c>
      <c r="D9" s="70" t="s">
        <v>149</v>
      </c>
      <c r="E9" s="70"/>
    </row>
    <row r="10" spans="1:5" x14ac:dyDescent="0.3">
      <c r="A10" s="76">
        <v>43786</v>
      </c>
      <c r="B10" s="77">
        <v>0.5</v>
      </c>
      <c r="C10" s="70" t="s">
        <v>145</v>
      </c>
      <c r="D10" s="70" t="s">
        <v>147</v>
      </c>
      <c r="E10" s="70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Формула</vt:lpstr>
      <vt:lpstr>Справочник</vt:lpstr>
      <vt:lpstr>Расчет стоимости товара</vt:lpstr>
      <vt:lpstr>Диаграмма</vt:lpstr>
      <vt:lpstr>Фильры</vt:lpstr>
      <vt:lpstr>ВПР1</vt:lpstr>
      <vt:lpstr>ВПР2</vt:lpstr>
      <vt:lpstr>Тур1</vt:lpstr>
      <vt:lpstr>Тур2</vt:lpstr>
      <vt:lpstr>Тур3</vt:lpstr>
      <vt:lpstr>Тур4</vt:lpstr>
      <vt:lpstr>Тур5</vt:lpstr>
      <vt:lpstr>Тур6</vt:lpstr>
      <vt:lpstr>Тур7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2015-06-05T18:17:20Z</dcterms:created>
  <dcterms:modified xsi:type="dcterms:W3CDTF">2019-12-09T13:50:46Z</dcterms:modified>
</cp:coreProperties>
</file>